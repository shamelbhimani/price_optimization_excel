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hamel\Documents\Projects\pricing_analysis\"/>
    </mc:Choice>
  </mc:AlternateContent>
  <xr:revisionPtr revIDLastSave="0" documentId="13_ncr:1_{5C6E538F-2CAA-4807-BECD-16FC1DAE82C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Executive Summary" sheetId="4" r:id="rId1"/>
    <sheet name="Pricing Detail" sheetId="5" r:id="rId2"/>
    <sheet name="Product Churn Profile" sheetId="6" r:id="rId3"/>
    <sheet name="Model Output" sheetId="8" r:id="rId4"/>
    <sheet name="Path" sheetId="1" r:id="rId5"/>
  </sheets>
  <definedNames>
    <definedName name="ExternalData_3" localSheetId="3" hidden="1">'Model Output'!$A$1:$AT$25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5" l="1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4" i="5"/>
  <c r="A11" i="4"/>
  <c r="G4" i="4"/>
  <c r="J5" i="4"/>
  <c r="E5" i="4"/>
  <c r="C5" i="4"/>
  <c r="B5" i="4"/>
  <c r="A13" i="4" a="1"/>
  <c r="A2" i="1" a="1"/>
  <c r="A2" i="1" s="1"/>
  <c r="J14" i="4" l="1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A13" i="4"/>
  <c r="H14" i="4"/>
  <c r="H15" i="4"/>
  <c r="H16" i="4"/>
  <c r="H17" i="4"/>
  <c r="H18" i="4"/>
  <c r="H19" i="4"/>
  <c r="H20" i="4"/>
  <c r="H21" i="4"/>
  <c r="H22" i="4"/>
  <c r="H23" i="4"/>
  <c r="B30" i="4"/>
  <c r="G17" i="4"/>
  <c r="G19" i="4"/>
  <c r="G21" i="4"/>
  <c r="G22" i="4"/>
  <c r="G24" i="4"/>
  <c r="G25" i="4"/>
  <c r="G26" i="4"/>
  <c r="G28" i="4"/>
  <c r="G30" i="4"/>
  <c r="G31" i="4"/>
  <c r="G32" i="4"/>
  <c r="G34" i="4"/>
  <c r="G36" i="4"/>
  <c r="B31" i="4"/>
  <c r="F17" i="4"/>
  <c r="F19" i="4"/>
  <c r="F21" i="4"/>
  <c r="F23" i="4"/>
  <c r="F26" i="4"/>
  <c r="F27" i="4"/>
  <c r="F29" i="4"/>
  <c r="F31" i="4"/>
  <c r="F33" i="4"/>
  <c r="F35" i="4"/>
  <c r="B33" i="4"/>
  <c r="E14" i="4"/>
  <c r="E17" i="4"/>
  <c r="E19" i="4"/>
  <c r="E22" i="4"/>
  <c r="E24" i="4"/>
  <c r="E26" i="4"/>
  <c r="E28" i="4"/>
  <c r="E29" i="4"/>
  <c r="E31" i="4"/>
  <c r="E34" i="4"/>
  <c r="E35" i="4"/>
  <c r="E36" i="4"/>
  <c r="B34" i="4"/>
  <c r="D15" i="4"/>
  <c r="D17" i="4"/>
  <c r="D19" i="4"/>
  <c r="D21" i="4"/>
  <c r="D23" i="4"/>
  <c r="D25" i="4"/>
  <c r="D27" i="4"/>
  <c r="D29" i="4"/>
  <c r="D31" i="4"/>
  <c r="D33" i="4"/>
  <c r="D35" i="4"/>
  <c r="B35" i="4"/>
  <c r="C15" i="4"/>
  <c r="C16" i="4"/>
  <c r="C18" i="4"/>
  <c r="C20" i="4"/>
  <c r="C22" i="4"/>
  <c r="C24" i="4"/>
  <c r="C26" i="4"/>
  <c r="C27" i="4"/>
  <c r="C29" i="4"/>
  <c r="C30" i="4"/>
  <c r="C31" i="4"/>
  <c r="C33" i="4"/>
  <c r="C35" i="4"/>
  <c r="B14" i="4"/>
  <c r="B16" i="4"/>
  <c r="B17" i="4"/>
  <c r="B19" i="4"/>
  <c r="B21" i="4"/>
  <c r="B24" i="4"/>
  <c r="B26" i="4"/>
  <c r="B28" i="4"/>
  <c r="B32" i="4"/>
  <c r="B36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G14" i="4"/>
  <c r="G15" i="4"/>
  <c r="G16" i="4"/>
  <c r="G18" i="4"/>
  <c r="G20" i="4"/>
  <c r="G23" i="4"/>
  <c r="G27" i="4"/>
  <c r="G29" i="4"/>
  <c r="G33" i="4"/>
  <c r="G35" i="4"/>
  <c r="F14" i="4"/>
  <c r="F15" i="4"/>
  <c r="F16" i="4"/>
  <c r="F18" i="4"/>
  <c r="F20" i="4"/>
  <c r="F22" i="4"/>
  <c r="F24" i="4"/>
  <c r="F25" i="4"/>
  <c r="F28" i="4"/>
  <c r="F30" i="4"/>
  <c r="F32" i="4"/>
  <c r="F34" i="4"/>
  <c r="F36" i="4"/>
  <c r="E15" i="4"/>
  <c r="E16" i="4"/>
  <c r="E18" i="4"/>
  <c r="E20" i="4"/>
  <c r="E21" i="4"/>
  <c r="E23" i="4"/>
  <c r="E25" i="4"/>
  <c r="E27" i="4"/>
  <c r="E30" i="4"/>
  <c r="E32" i="4"/>
  <c r="E33" i="4"/>
  <c r="D14" i="4"/>
  <c r="D16" i="4"/>
  <c r="D18" i="4"/>
  <c r="D20" i="4"/>
  <c r="D22" i="4"/>
  <c r="D24" i="4"/>
  <c r="D26" i="4"/>
  <c r="D28" i="4"/>
  <c r="D30" i="4"/>
  <c r="D32" i="4"/>
  <c r="D34" i="4"/>
  <c r="D36" i="4"/>
  <c r="C14" i="4"/>
  <c r="C17" i="4"/>
  <c r="C19" i="4"/>
  <c r="C21" i="4"/>
  <c r="C23" i="4"/>
  <c r="C25" i="4"/>
  <c r="C28" i="4"/>
  <c r="C32" i="4"/>
  <c r="C34" i="4"/>
  <c r="C36" i="4"/>
  <c r="B15" i="4"/>
  <c r="B18" i="4"/>
  <c r="B20" i="4"/>
  <c r="B22" i="4"/>
  <c r="B23" i="4"/>
  <c r="B25" i="4"/>
  <c r="B27" i="4"/>
  <c r="B29" i="4"/>
  <c r="A4" i="6" l="1" a="1"/>
  <c r="A4" i="4"/>
  <c r="J13" i="4"/>
  <c r="I13" i="4"/>
  <c r="B13" i="4"/>
  <c r="C13" i="4"/>
  <c r="D13" i="4"/>
  <c r="C4" i="5" s="1" a="1"/>
  <c r="C4" i="5" s="1"/>
  <c r="E13" i="4"/>
  <c r="E37" i="4" s="1"/>
  <c r="F13" i="4"/>
  <c r="G13" i="4"/>
  <c r="H13" i="4"/>
  <c r="C24" i="6" l="1"/>
  <c r="C23" i="6"/>
  <c r="C21" i="6"/>
  <c r="C18" i="6"/>
  <c r="C16" i="6"/>
  <c r="C14" i="6"/>
  <c r="C12" i="6"/>
  <c r="C10" i="6"/>
  <c r="C7" i="6"/>
  <c r="C5" i="6"/>
  <c r="D26" i="6"/>
  <c r="D24" i="6"/>
  <c r="D22" i="6"/>
  <c r="D21" i="6"/>
  <c r="D19" i="6"/>
  <c r="D17" i="6"/>
  <c r="D15" i="6"/>
  <c r="D13" i="6"/>
  <c r="D11" i="6"/>
  <c r="D9" i="6"/>
  <c r="E27" i="6"/>
  <c r="E25" i="6"/>
  <c r="E23" i="6"/>
  <c r="E21" i="6"/>
  <c r="E19" i="6"/>
  <c r="E17" i="6"/>
  <c r="E15" i="6"/>
  <c r="E13" i="6"/>
  <c r="E9" i="6"/>
  <c r="E6" i="6"/>
  <c r="F26" i="6" a="1"/>
  <c r="F26" i="6" s="1"/>
  <c r="F25" i="6" a="1"/>
  <c r="F25" i="6" s="1"/>
  <c r="F24" i="6" a="1"/>
  <c r="F24" i="6" s="1"/>
  <c r="F23" i="6" a="1"/>
  <c r="F23" i="6" s="1"/>
  <c r="F20" i="6" a="1"/>
  <c r="F20" i="6" s="1"/>
  <c r="F18" i="6" a="1"/>
  <c r="F18" i="6" s="1"/>
  <c r="F16" i="6" a="1"/>
  <c r="F16" i="6" s="1"/>
  <c r="F14" i="6" a="1"/>
  <c r="F14" i="6" s="1"/>
  <c r="F12" i="6" a="1"/>
  <c r="F12" i="6" s="1"/>
  <c r="F8" i="6" a="1"/>
  <c r="F8" i="6" s="1"/>
  <c r="F7" i="6" a="1"/>
  <c r="F7" i="6" s="1"/>
  <c r="F5" i="6" a="1"/>
  <c r="F5" i="6" s="1"/>
  <c r="J27" i="6"/>
  <c r="J25" i="6"/>
  <c r="J22" i="6"/>
  <c r="J18" i="6"/>
  <c r="J16" i="6"/>
  <c r="J15" i="6"/>
  <c r="J14" i="6"/>
  <c r="J13" i="6"/>
  <c r="J11" i="6"/>
  <c r="J9" i="6"/>
  <c r="J8" i="6"/>
  <c r="J7" i="6"/>
  <c r="J5" i="6"/>
  <c r="K26" i="6" a="1"/>
  <c r="K26" i="6" s="1"/>
  <c r="K25" i="6" a="1"/>
  <c r="K25" i="6" s="1"/>
  <c r="K24" i="6" a="1"/>
  <c r="K24" i="6" s="1"/>
  <c r="K22" i="6" a="1"/>
  <c r="K22" i="6" s="1"/>
  <c r="K20" i="6" a="1"/>
  <c r="K20" i="6" s="1"/>
  <c r="K19" i="6" a="1"/>
  <c r="K19" i="6" s="1"/>
  <c r="K17" i="6" a="1"/>
  <c r="K17" i="6" s="1"/>
  <c r="K15" i="6" a="1"/>
  <c r="K15" i="6" s="1"/>
  <c r="K13" i="6" a="1"/>
  <c r="K13" i="6" s="1"/>
  <c r="K11" i="6" a="1"/>
  <c r="K11" i="6" s="1"/>
  <c r="K9" i="6" a="1"/>
  <c r="K9" i="6" s="1"/>
  <c r="K6" i="6" a="1"/>
  <c r="K6" i="6" s="1"/>
  <c r="C25" i="6"/>
  <c r="M27" i="6" a="1"/>
  <c r="M27" i="6" s="1"/>
  <c r="M25" i="6" a="1"/>
  <c r="M25" i="6" s="1"/>
  <c r="M22" i="6" a="1"/>
  <c r="M22" i="6" s="1"/>
  <c r="M19" i="6" a="1"/>
  <c r="M19" i="6" s="1"/>
  <c r="M18" i="6" a="1"/>
  <c r="M18" i="6" s="1"/>
  <c r="M16" i="6" a="1"/>
  <c r="M16" i="6" s="1"/>
  <c r="M13" i="6" a="1"/>
  <c r="M13" i="6" s="1"/>
  <c r="M11" i="6" a="1"/>
  <c r="M11" i="6" s="1"/>
  <c r="M8" i="6" a="1"/>
  <c r="M8" i="6" s="1"/>
  <c r="M5" i="6" a="1"/>
  <c r="M5" i="6" s="1"/>
  <c r="C22" i="6"/>
  <c r="C20" i="6"/>
  <c r="C19" i="6"/>
  <c r="C17" i="6"/>
  <c r="C15" i="6"/>
  <c r="C13" i="6"/>
  <c r="C11" i="6"/>
  <c r="C9" i="6"/>
  <c r="C8" i="6"/>
  <c r="C6" i="6"/>
  <c r="D27" i="6"/>
  <c r="D25" i="6"/>
  <c r="D23" i="6"/>
  <c r="D20" i="6"/>
  <c r="D18" i="6"/>
  <c r="D16" i="6"/>
  <c r="D14" i="6"/>
  <c r="D12" i="6"/>
  <c r="D10" i="6"/>
  <c r="D8" i="6"/>
  <c r="D7" i="6"/>
  <c r="D6" i="6"/>
  <c r="D5" i="6"/>
  <c r="E26" i="6"/>
  <c r="E24" i="6"/>
  <c r="E22" i="6"/>
  <c r="E20" i="6"/>
  <c r="E18" i="6"/>
  <c r="E16" i="6"/>
  <c r="E14" i="6"/>
  <c r="E12" i="6"/>
  <c r="E11" i="6"/>
  <c r="E10" i="6"/>
  <c r="E8" i="6"/>
  <c r="E7" i="6"/>
  <c r="E5" i="6"/>
  <c r="F27" i="6" a="1"/>
  <c r="F27" i="6" s="1"/>
  <c r="F22" i="6" a="1"/>
  <c r="F22" i="6" s="1"/>
  <c r="F21" i="6" a="1"/>
  <c r="F21" i="6" s="1"/>
  <c r="F19" i="6" a="1"/>
  <c r="F19" i="6" s="1"/>
  <c r="F17" i="6" a="1"/>
  <c r="F17" i="6" s="1"/>
  <c r="F15" i="6" a="1"/>
  <c r="F15" i="6" s="1"/>
  <c r="F13" i="6" a="1"/>
  <c r="F13" i="6" s="1"/>
  <c r="F11" i="6" a="1"/>
  <c r="F11" i="6" s="1"/>
  <c r="F10" i="6" a="1"/>
  <c r="F10" i="6" s="1"/>
  <c r="F9" i="6" a="1"/>
  <c r="F9" i="6" s="1"/>
  <c r="F6" i="6" a="1"/>
  <c r="F6" i="6" s="1"/>
  <c r="C27" i="6"/>
  <c r="J26" i="6"/>
  <c r="J24" i="6"/>
  <c r="J23" i="6"/>
  <c r="J21" i="6"/>
  <c r="J20" i="6"/>
  <c r="J19" i="6"/>
  <c r="J17" i="6"/>
  <c r="J12" i="6"/>
  <c r="J10" i="6"/>
  <c r="J6" i="6"/>
  <c r="C26" i="6"/>
  <c r="K27" i="6" a="1"/>
  <c r="K27" i="6" s="1"/>
  <c r="K23" i="6" a="1"/>
  <c r="K23" i="6" s="1"/>
  <c r="K21" i="6" a="1"/>
  <c r="K21" i="6" s="1"/>
  <c r="K18" i="6" a="1"/>
  <c r="K18" i="6" s="1"/>
  <c r="K16" i="6" a="1"/>
  <c r="K16" i="6" s="1"/>
  <c r="K14" i="6" a="1"/>
  <c r="K14" i="6" s="1"/>
  <c r="K12" i="6" a="1"/>
  <c r="K12" i="6" s="1"/>
  <c r="K10" i="6" a="1"/>
  <c r="K10" i="6" s="1"/>
  <c r="K8" i="6" a="1"/>
  <c r="K8" i="6" s="1"/>
  <c r="K7" i="6" a="1"/>
  <c r="K7" i="6" s="1"/>
  <c r="K5" i="6" a="1"/>
  <c r="K5" i="6" s="1"/>
  <c r="M26" i="6" a="1"/>
  <c r="M26" i="6" s="1"/>
  <c r="M24" i="6" a="1"/>
  <c r="M24" i="6" s="1"/>
  <c r="M23" i="6" a="1"/>
  <c r="M23" i="6" s="1"/>
  <c r="M21" i="6" a="1"/>
  <c r="M21" i="6" s="1"/>
  <c r="M20" i="6" a="1"/>
  <c r="M20" i="6" s="1"/>
  <c r="M17" i="6" a="1"/>
  <c r="M17" i="6" s="1"/>
  <c r="M15" i="6" a="1"/>
  <c r="M15" i="6" s="1"/>
  <c r="M14" i="6" a="1"/>
  <c r="M14" i="6" s="1"/>
  <c r="M12" i="6" a="1"/>
  <c r="M12" i="6" s="1"/>
  <c r="M10" i="6" a="1"/>
  <c r="M10" i="6" s="1"/>
  <c r="M9" i="6" a="1"/>
  <c r="M9" i="6" s="1"/>
  <c r="M7" i="6" a="1"/>
  <c r="M7" i="6" s="1"/>
  <c r="M6" i="6" a="1"/>
  <c r="M6" i="6" s="1"/>
  <c r="A4" i="6"/>
  <c r="J37" i="4"/>
  <c r="J4" i="4"/>
  <c r="I37" i="4"/>
  <c r="G5" i="4"/>
  <c r="A4" i="5" a="1"/>
  <c r="B4" i="6" a="1"/>
  <c r="B4" i="6" s="1"/>
  <c r="D4" i="5" a="1"/>
  <c r="D4" i="5" s="1"/>
  <c r="A5" i="4"/>
  <c r="E4" i="4"/>
  <c r="F37" i="4"/>
  <c r="G37" i="4"/>
  <c r="B4" i="4"/>
  <c r="C4" i="4" a="1"/>
  <c r="C4" i="4" s="1"/>
  <c r="H37" i="4"/>
  <c r="G5" i="5" l="1"/>
  <c r="G7" i="5"/>
  <c r="G10" i="5"/>
  <c r="G12" i="5"/>
  <c r="G14" i="5"/>
  <c r="G15" i="5"/>
  <c r="G18" i="5"/>
  <c r="G20" i="5"/>
  <c r="G23" i="5"/>
  <c r="G25" i="5"/>
  <c r="G6" i="5"/>
  <c r="G9" i="5"/>
  <c r="G11" i="5"/>
  <c r="G13" i="5"/>
  <c r="G16" i="5"/>
  <c r="G19" i="5"/>
  <c r="G21" i="5"/>
  <c r="G22" i="5"/>
  <c r="G24" i="5"/>
  <c r="G26" i="5"/>
  <c r="G27" i="5"/>
  <c r="G8" i="5"/>
  <c r="G17" i="5"/>
  <c r="J4" i="6"/>
  <c r="J28" i="6" s="1"/>
  <c r="E4" i="6"/>
  <c r="E28" i="6" s="1"/>
  <c r="M4" i="6" a="1"/>
  <c r="K4" i="6" a="1"/>
  <c r="D4" i="6"/>
  <c r="D28" i="6" s="1"/>
  <c r="F4" i="6" a="1"/>
  <c r="F4" i="6" s="1"/>
  <c r="C4" i="6"/>
  <c r="N6" i="5" a="1"/>
  <c r="N6" i="5" s="1"/>
  <c r="N9" i="5" a="1"/>
  <c r="N9" i="5" s="1"/>
  <c r="N11" i="5" a="1"/>
  <c r="N11" i="5" s="1"/>
  <c r="N13" i="5" a="1"/>
  <c r="N13" i="5" s="1"/>
  <c r="N15" i="5" a="1"/>
  <c r="N15" i="5" s="1"/>
  <c r="N16" i="5" a="1"/>
  <c r="N16" i="5" s="1"/>
  <c r="N17" i="5" a="1"/>
  <c r="N17" i="5" s="1"/>
  <c r="N18" i="5" a="1"/>
  <c r="N18" i="5" s="1"/>
  <c r="N19" i="5" a="1"/>
  <c r="N19" i="5" s="1"/>
  <c r="N20" i="5" a="1"/>
  <c r="N20" i="5" s="1"/>
  <c r="N21" i="5" a="1"/>
  <c r="N21" i="5" s="1"/>
  <c r="N22" i="5" a="1"/>
  <c r="N22" i="5" s="1"/>
  <c r="N24" i="5" a="1"/>
  <c r="N24" i="5" s="1"/>
  <c r="N25" i="5" a="1"/>
  <c r="N25" i="5" s="1"/>
  <c r="N27" i="5" a="1"/>
  <c r="N27" i="5" s="1"/>
  <c r="M5" i="5"/>
  <c r="M7" i="5"/>
  <c r="M9" i="5"/>
  <c r="P9" i="5" s="1"/>
  <c r="M11" i="5"/>
  <c r="P11" i="5" s="1"/>
  <c r="M13" i="5"/>
  <c r="P13" i="5" s="1"/>
  <c r="M14" i="5"/>
  <c r="M16" i="5"/>
  <c r="P16" i="5" s="1"/>
  <c r="M18" i="5"/>
  <c r="P18" i="5" s="1"/>
  <c r="M19" i="5"/>
  <c r="P19" i="5" s="1"/>
  <c r="M21" i="5"/>
  <c r="P21" i="5" s="1"/>
  <c r="M23" i="5"/>
  <c r="M25" i="5"/>
  <c r="M26" i="5"/>
  <c r="M27" i="5"/>
  <c r="L6" i="5"/>
  <c r="L8" i="5"/>
  <c r="L10" i="5"/>
  <c r="L12" i="5"/>
  <c r="L14" i="5"/>
  <c r="L15" i="5"/>
  <c r="L17" i="5"/>
  <c r="L19" i="5"/>
  <c r="L20" i="5"/>
  <c r="L22" i="5"/>
  <c r="L24" i="5"/>
  <c r="L25" i="5"/>
  <c r="L27" i="5"/>
  <c r="J6" i="5"/>
  <c r="J8" i="5"/>
  <c r="J11" i="5"/>
  <c r="J12" i="5"/>
  <c r="J13" i="5"/>
  <c r="J14" i="5"/>
  <c r="J15" i="5"/>
  <c r="J18" i="5"/>
  <c r="J20" i="5"/>
  <c r="J22" i="5"/>
  <c r="J24" i="5"/>
  <c r="J26" i="5"/>
  <c r="J27" i="5"/>
  <c r="I6" i="5"/>
  <c r="I8" i="5"/>
  <c r="I10" i="5"/>
  <c r="I12" i="5"/>
  <c r="I15" i="5"/>
  <c r="I17" i="5"/>
  <c r="I19" i="5"/>
  <c r="I21" i="5"/>
  <c r="I23" i="5"/>
  <c r="I24" i="5"/>
  <c r="I26" i="5"/>
  <c r="H5" i="5"/>
  <c r="H7" i="5"/>
  <c r="H9" i="5"/>
  <c r="H11" i="5"/>
  <c r="H13" i="5"/>
  <c r="H15" i="5"/>
  <c r="H17" i="5"/>
  <c r="H19" i="5"/>
  <c r="H21" i="5"/>
  <c r="H23" i="5"/>
  <c r="H26" i="5"/>
  <c r="H27" i="5"/>
  <c r="F5" i="5"/>
  <c r="F7" i="5"/>
  <c r="F8" i="5"/>
  <c r="F10" i="5"/>
  <c r="F12" i="5"/>
  <c r="F16" i="5"/>
  <c r="F17" i="5"/>
  <c r="E12" i="5"/>
  <c r="E14" i="5"/>
  <c r="E16" i="5"/>
  <c r="E17" i="5"/>
  <c r="E19" i="5"/>
  <c r="E21" i="5"/>
  <c r="E23" i="5"/>
  <c r="E25" i="5"/>
  <c r="A4" i="5"/>
  <c r="G4" i="5" s="1"/>
  <c r="G28" i="5" s="1"/>
  <c r="N5" i="5" a="1"/>
  <c r="N5" i="5" s="1"/>
  <c r="N7" i="5" a="1"/>
  <c r="N7" i="5" s="1"/>
  <c r="N8" i="5" a="1"/>
  <c r="N8" i="5" s="1"/>
  <c r="N10" i="5" a="1"/>
  <c r="N10" i="5" s="1"/>
  <c r="N12" i="5" a="1"/>
  <c r="N12" i="5" s="1"/>
  <c r="N14" i="5" a="1"/>
  <c r="N14" i="5" s="1"/>
  <c r="N23" i="5" a="1"/>
  <c r="N23" i="5" s="1"/>
  <c r="N26" i="5" a="1"/>
  <c r="N26" i="5" s="1"/>
  <c r="M6" i="5"/>
  <c r="M8" i="5"/>
  <c r="M10" i="5"/>
  <c r="M12" i="5"/>
  <c r="M15" i="5"/>
  <c r="M17" i="5"/>
  <c r="M20" i="5"/>
  <c r="M22" i="5"/>
  <c r="M24" i="5"/>
  <c r="L5" i="5"/>
  <c r="L7" i="5"/>
  <c r="L9" i="5"/>
  <c r="L11" i="5"/>
  <c r="L13" i="5"/>
  <c r="L16" i="5"/>
  <c r="L18" i="5"/>
  <c r="L21" i="5"/>
  <c r="L23" i="5"/>
  <c r="L26" i="5"/>
  <c r="J5" i="5"/>
  <c r="J7" i="5"/>
  <c r="J9" i="5"/>
  <c r="J10" i="5"/>
  <c r="J16" i="5"/>
  <c r="J17" i="5"/>
  <c r="J19" i="5"/>
  <c r="J21" i="5"/>
  <c r="J23" i="5"/>
  <c r="J25" i="5"/>
  <c r="I5" i="5"/>
  <c r="I7" i="5"/>
  <c r="I9" i="5"/>
  <c r="I11" i="5"/>
  <c r="I13" i="5"/>
  <c r="I14" i="5"/>
  <c r="I16" i="5"/>
  <c r="I18" i="5"/>
  <c r="I20" i="5"/>
  <c r="I22" i="5"/>
  <c r="I25" i="5"/>
  <c r="I27" i="5"/>
  <c r="H6" i="5"/>
  <c r="H8" i="5"/>
  <c r="H10" i="5"/>
  <c r="H12" i="5"/>
  <c r="H14" i="5"/>
  <c r="H16" i="5"/>
  <c r="H18" i="5"/>
  <c r="H20" i="5"/>
  <c r="H22" i="5"/>
  <c r="H24" i="5"/>
  <c r="H25" i="5"/>
  <c r="F6" i="5"/>
  <c r="F9" i="5"/>
  <c r="F11" i="5"/>
  <c r="F13" i="5"/>
  <c r="F14" i="5"/>
  <c r="F15" i="5"/>
  <c r="F18" i="5"/>
  <c r="F19" i="5"/>
  <c r="F20" i="5"/>
  <c r="F21" i="5"/>
  <c r="F22" i="5"/>
  <c r="F23" i="5"/>
  <c r="F24" i="5"/>
  <c r="F25" i="5"/>
  <c r="F26" i="5"/>
  <c r="F27" i="5"/>
  <c r="E5" i="5"/>
  <c r="E6" i="5"/>
  <c r="E7" i="5"/>
  <c r="E8" i="5"/>
  <c r="E9" i="5"/>
  <c r="E10" i="5"/>
  <c r="E11" i="5"/>
  <c r="E13" i="5"/>
  <c r="E15" i="5"/>
  <c r="E18" i="5"/>
  <c r="E20" i="5"/>
  <c r="E22" i="5"/>
  <c r="E24" i="5"/>
  <c r="E26" i="5"/>
  <c r="E27" i="5"/>
  <c r="P25" i="5" l="1"/>
  <c r="P27" i="5"/>
  <c r="P15" i="5"/>
  <c r="P17" i="5"/>
  <c r="P20" i="5"/>
  <c r="P24" i="5"/>
  <c r="P23" i="5"/>
  <c r="P26" i="5"/>
  <c r="M4" i="6"/>
  <c r="M28" i="6" s="1"/>
  <c r="N28" i="6"/>
  <c r="O28" i="6"/>
  <c r="K4" i="6"/>
  <c r="K28" i="6" s="1"/>
  <c r="L28" i="6"/>
  <c r="I4" i="5"/>
  <c r="L4" i="5"/>
  <c r="L28" i="5" s="1"/>
  <c r="N4" i="5" a="1"/>
  <c r="E4" i="5"/>
  <c r="J4" i="5"/>
  <c r="J28" i="5" s="1"/>
  <c r="M4" i="5"/>
  <c r="F4" i="5"/>
  <c r="F28" i="5" s="1"/>
  <c r="H4" i="5"/>
  <c r="H28" i="5" s="1"/>
  <c r="P6" i="5"/>
  <c r="P8" i="5"/>
  <c r="P10" i="5"/>
  <c r="P12" i="5"/>
  <c r="P22" i="5"/>
  <c r="P5" i="5"/>
  <c r="P7" i="5"/>
  <c r="P14" i="5"/>
  <c r="O28" i="5" l="1"/>
  <c r="N4" i="5"/>
  <c r="N28" i="5" s="1"/>
  <c r="P4" i="5"/>
  <c r="P28" i="5" s="1"/>
  <c r="M28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A952E9-C1EB-4A50-AA5C-EFBC975442DA}" keepAlive="1" name="Query - Model Output" description="Connection to the 'Model Output' query in the workbook." type="5" refreshedVersion="8" background="1" saveData="1">
    <dbPr connection="Provider=Microsoft.Mashup.OleDb.1;Data Source=$Workbook$;Location=&quot;Model Output&quot;;Extended Properties=&quot;&quot;" command="SELECT * FROM [Model Output]"/>
  </connection>
  <connection id="2" xr16:uid="{40523493-29F5-4770-BBEE-D469DFCA42F9}" keepAlive="1" name="Query - tbl_Path" description="Connection to the 'tbl_Path' query in the workbook." type="5" refreshedVersion="0" background="1">
    <dbPr connection="Provider=Microsoft.Mashup.OleDb.1;Data Source=$Workbook$;Location=tbl_Path;Extended Properties=&quot;&quot;" command="SELECT * FROM [tbl_Path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<sst xmlns="http://schemas.openxmlformats.org/spreadsheetml/2006/main" count="229" uniqueCount="140">
  <si>
    <t>SKU</t>
  </si>
  <si>
    <t>Product Name</t>
  </si>
  <si>
    <t>Category</t>
  </si>
  <si>
    <t>Recommendation</t>
  </si>
  <si>
    <t>Current Price</t>
  </si>
  <si>
    <t>Current Cost Per Unit</t>
  </si>
  <si>
    <t>Current Volume</t>
  </si>
  <si>
    <t>Current Gross Revenue</t>
  </si>
  <si>
    <t>Current COGS</t>
  </si>
  <si>
    <t>Current Gross Profit</t>
  </si>
  <si>
    <t>Current Gross Profit Margin %</t>
  </si>
  <si>
    <t>V1 Suggested Price</t>
  </si>
  <si>
    <t>V1 Difference $</t>
  </si>
  <si>
    <t>V1 Difference %</t>
  </si>
  <si>
    <t>V1 Gross Revenue Impact</t>
  </si>
  <si>
    <t>V1 Gross Profit Impact $</t>
  </si>
  <si>
    <t>Total Buyers</t>
  </si>
  <si>
    <t>Average Churn Score</t>
  </si>
  <si>
    <t>Average Projected Churn Rate</t>
  </si>
  <si>
    <t>Total Buyer LTV</t>
  </si>
  <si>
    <t>Total LTV at Risk</t>
  </si>
  <si>
    <t>% Critical</t>
  </si>
  <si>
    <t>% High</t>
  </si>
  <si>
    <t>% Medium</t>
  </si>
  <si>
    <t>%Low</t>
  </si>
  <si>
    <t>Dominant Tier</t>
  </si>
  <si>
    <t>Adjusted Price</t>
  </si>
  <si>
    <t>Adjusted Difference $</t>
  </si>
  <si>
    <t>Adjusted Difference %</t>
  </si>
  <si>
    <t>Adjusted Volume Change %</t>
  </si>
  <si>
    <t>Adjusted Volume</t>
  </si>
  <si>
    <t>Adjusted Projected Gross Revenue</t>
  </si>
  <si>
    <t>Adjusted Gross Revenue Impact</t>
  </si>
  <si>
    <t>Adjusted Gross Revenue Lift</t>
  </si>
  <si>
    <t>Adjusted COGS</t>
  </si>
  <si>
    <t>Adjusted COGS Impact</t>
  </si>
  <si>
    <t>Adjusted COGS Lift</t>
  </si>
  <si>
    <t>Adjusted Gross Profit</t>
  </si>
  <si>
    <t>Projected Gross Profit Impact $</t>
  </si>
  <si>
    <t>Projected Gross Profit Lift %</t>
  </si>
  <si>
    <t>Projected Gross Profit Margin %</t>
  </si>
  <si>
    <t>Project Gross Profit Margin Impact %</t>
  </si>
  <si>
    <t>Projected Gross Profit Margin Lift</t>
  </si>
  <si>
    <t>LTV Protected</t>
  </si>
  <si>
    <t>LTV Sacrificed</t>
  </si>
  <si>
    <t>SKU-1014</t>
  </si>
  <si>
    <t>Wool Sweater</t>
  </si>
  <si>
    <t>Apparel</t>
  </si>
  <si>
    <t>Raise</t>
  </si>
  <si>
    <t>High</t>
  </si>
  <si>
    <t>SKU-1021</t>
  </si>
  <si>
    <t>Air Fryer</t>
  </si>
  <si>
    <t>Home &amp; Kitchen</t>
  </si>
  <si>
    <t>Critical</t>
  </si>
  <si>
    <t>SKU-1026</t>
  </si>
  <si>
    <t>Dish Rack</t>
  </si>
  <si>
    <t>Hold</t>
  </si>
  <si>
    <t>Beauty &amp; Personal Care</t>
  </si>
  <si>
    <t>SKU-1031</t>
  </si>
  <si>
    <t>SPF Moisturizer</t>
  </si>
  <si>
    <t>SKU-1034</t>
  </si>
  <si>
    <t>Face Mask Kit</t>
  </si>
  <si>
    <t>SKU-1039</t>
  </si>
  <si>
    <t>Nail Polish Set</t>
  </si>
  <si>
    <t>SKU-1044</t>
  </si>
  <si>
    <t>Foam Roller</t>
  </si>
  <si>
    <t>Sports &amp; Outdoors</t>
  </si>
  <si>
    <t>FilePath</t>
  </si>
  <si>
    <t>Monte Carlo Simulation Outputs</t>
  </si>
  <si>
    <t>Total Gross Profit Impact</t>
  </si>
  <si>
    <t>Average Price Change</t>
  </si>
  <si>
    <t>LTV at Risk</t>
  </si>
  <si>
    <t>Product</t>
  </si>
  <si>
    <t>Action</t>
  </si>
  <si>
    <t>Adj. Price</t>
  </si>
  <si>
    <t>GP Impact $</t>
  </si>
  <si>
    <t>PRICING MODEL | EXECUTIVE SUMMARY</t>
  </si>
  <si>
    <r>
      <rPr>
        <b/>
        <sz val="14"/>
        <color theme="0"/>
        <rFont val="Aptos Narrow"/>
        <family val="2"/>
      </rPr>
      <t>∆</t>
    </r>
    <r>
      <rPr>
        <b/>
        <sz val="14"/>
        <color theme="0"/>
        <rFont val="Calibri"/>
        <family val="2"/>
      </rPr>
      <t xml:space="preserve"> %</t>
    </r>
  </si>
  <si>
    <t>TOTALS</t>
  </si>
  <si>
    <t>PRICING DETAIL - V1 vs ADJUSTED</t>
  </si>
  <si>
    <t>V1 Price</t>
  </si>
  <si>
    <t>V1 ∆%</t>
  </si>
  <si>
    <t>V1 GP Impact</t>
  </si>
  <si>
    <t>Adj. ∆%</t>
  </si>
  <si>
    <t>Adj. GP Impact</t>
  </si>
  <si>
    <t>V1 Model</t>
  </si>
  <si>
    <t>Churn-Adjusted Model</t>
  </si>
  <si>
    <t>Info</t>
  </si>
  <si>
    <t>Competitive Signal</t>
  </si>
  <si>
    <t>CHURN RISK PROFILE | BUYER-BASED ANALYSIS PER SKU</t>
  </si>
  <si>
    <t>Dominant Churn Tier</t>
  </si>
  <si>
    <t>% Low</t>
  </si>
  <si>
    <t>Projected Churn Rate (V1-based)</t>
  </si>
  <si>
    <t>V1-Based Churn Projection</t>
  </si>
  <si>
    <t>Churn-Adjusted Trade-off</t>
  </si>
  <si>
    <t>SKU-1004</t>
  </si>
  <si>
    <t>USB-C Hub</t>
  </si>
  <si>
    <t>Electronics</t>
  </si>
  <si>
    <t>SKU-1006</t>
  </si>
  <si>
    <t>Mechanical Keyboard</t>
  </si>
  <si>
    <t>SKU-1009</t>
  </si>
  <si>
    <t>Phone Stand</t>
  </si>
  <si>
    <t>SKU-1010</t>
  </si>
  <si>
    <t>Slim Fit Jeans</t>
  </si>
  <si>
    <t>SKU-1019</t>
  </si>
  <si>
    <t>Canvas Tote Bag</t>
  </si>
  <si>
    <t>SKU-1036</t>
  </si>
  <si>
    <t>Body Lotion</t>
  </si>
  <si>
    <t>SKU-1037</t>
  </si>
  <si>
    <t>Perfume Roller</t>
  </si>
  <si>
    <t>SKU-1043</t>
  </si>
  <si>
    <t>Jump Rope</t>
  </si>
  <si>
    <t>SKU-1000</t>
  </si>
  <si>
    <t>SKU-1001</t>
  </si>
  <si>
    <t>SKU-1011</t>
  </si>
  <si>
    <t>SKU-1027</t>
  </si>
  <si>
    <t>SKU-1029</t>
  </si>
  <si>
    <t>SKU-1030</t>
  </si>
  <si>
    <t>SKU-1033</t>
  </si>
  <si>
    <t>SKU-1048</t>
  </si>
  <si>
    <t>SKU-1049</t>
  </si>
  <si>
    <t>LTV Protection-Adjusted Risk Ratio</t>
  </si>
  <si>
    <t>Wireless Earbuds</t>
  </si>
  <si>
    <t>Bluetooth Speaker</t>
  </si>
  <si>
    <t>Graphic Tee</t>
  </si>
  <si>
    <t>Storage Bins</t>
  </si>
  <si>
    <t>Scented Candle</t>
  </si>
  <si>
    <t>Vitamin C Serum</t>
  </si>
  <si>
    <t>Electric Toothbrush</t>
  </si>
  <si>
    <t>Gym Bag</t>
  </si>
  <si>
    <t>Protein Shaker</t>
  </si>
  <si>
    <t>∆ %</t>
  </si>
  <si>
    <t>Average Gross Profit Lift %</t>
  </si>
  <si>
    <t>Candidate SKUs</t>
  </si>
  <si>
    <t>LTV Protection-Sacrifice Ratio</t>
  </si>
  <si>
    <t>LTV Protection to Sacrifice Ratio (%)</t>
  </si>
  <si>
    <t>LTV Uncertain</t>
  </si>
  <si>
    <t>LTV Protection-Sacrifice %</t>
  </si>
  <si>
    <t>V1 GR Impact</t>
  </si>
  <si>
    <t>Adj. GR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</si>
</sst>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8"/>
      <color rgb="FF0070C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b/>
      <sz val="18"/>
      <color theme="5" tint="-0.249977111117893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4"/>
      <color theme="7" tint="-0.499984740745262"/>
      <name val="Calibri"/>
      <family val="2"/>
      <scheme val="minor"/>
    </font>
    <font>
      <b/>
      <sz val="18"/>
      <color theme="7" tint="-0.499984740745262"/>
      <name val="Calibri"/>
      <family val="2"/>
      <scheme val="minor"/>
    </font>
    <font>
      <b/>
      <sz val="12"/>
      <color theme="7" tint="-0.499984740745262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8"/>
      <color rgb="FF7030A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4"/>
      <color theme="0"/>
      <name val="Calibri"/>
      <family val="2"/>
    </font>
    <font>
      <b/>
      <sz val="14"/>
      <color theme="0"/>
      <name val="Aptos Narrow"/>
      <family val="2"/>
    </font>
    <font>
      <sz val="11"/>
      <color theme="9"/>
      <name val="Calibri"/>
      <family val="2"/>
      <scheme val="minor"/>
    </font>
    <font>
      <b/>
      <sz val="12"/>
      <color theme="7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theme="5" tint="-0.499984740745262"/>
      <name val="Calibri"/>
      <family val="2"/>
      <scheme val="minor"/>
    </font>
    <font>
      <b/>
      <sz val="12"/>
      <color rgb="FF4B0075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2"/>
      <color theme="5" tint="-0.499984740745262"/>
      <name val="Calibri"/>
      <family val="2"/>
      <scheme val="minor"/>
    </font>
    <font>
      <sz val="12"/>
      <color rgb="FF4B0075"/>
      <name val="Calibri"/>
      <family val="2"/>
      <scheme val="minor"/>
    </font>
    <font>
      <b/>
      <sz val="12"/>
      <color theme="8" tint="-0.249977111117893"/>
      <name val="Calibri"/>
      <family val="2"/>
      <scheme val="minor"/>
    </font>
    <font>
      <sz val="12"/>
      <color theme="8" tint="-0.249977111117893"/>
      <name val="Calibri"/>
      <family val="2"/>
      <scheme val="minor"/>
    </font>
    <font>
      <sz val="12"/>
      <color rgb="FF7030A0"/>
      <name val="Calibri"/>
      <family val="2"/>
      <scheme val="minor"/>
    </font>
    <font>
      <b/>
      <sz val="12"/>
      <color theme="1" tint="0.34998626667073579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3" fillId="0" borderId="0" xfId="0" applyFont="1"/>
    <xf numFmtId="0" fontId="7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12" fillId="4" borderId="0" xfId="0" applyFont="1" applyFill="1" applyAlignment="1">
      <alignment horizontal="center"/>
    </xf>
    <xf numFmtId="0" fontId="22" fillId="8" borderId="0" xfId="0" applyFont="1" applyFill="1" applyAlignment="1">
      <alignment horizontal="center"/>
    </xf>
    <xf numFmtId="0" fontId="24" fillId="8" borderId="0" xfId="0" applyFont="1" applyFill="1" applyAlignment="1">
      <alignment horizontal="center"/>
    </xf>
    <xf numFmtId="0" fontId="8" fillId="3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23" fillId="8" borderId="0" xfId="0" applyFont="1" applyFill="1" applyAlignment="1">
      <alignment horizontal="center" vertical="center"/>
    </xf>
    <xf numFmtId="0" fontId="0" fillId="9" borderId="0" xfId="0" applyFill="1"/>
    <xf numFmtId="0" fontId="5" fillId="10" borderId="0" xfId="0" applyFont="1" applyFill="1" applyAlignment="1">
      <alignment horizontal="centerContinuous"/>
    </xf>
    <xf numFmtId="0" fontId="0" fillId="10" borderId="0" xfId="0" applyFill="1" applyAlignment="1">
      <alignment horizontal="centerContinuous"/>
    </xf>
    <xf numFmtId="0" fontId="4" fillId="10" borderId="0" xfId="0" applyFont="1" applyFill="1" applyAlignment="1">
      <alignment horizontal="centerContinuous"/>
    </xf>
    <xf numFmtId="0" fontId="6" fillId="10" borderId="0" xfId="0" applyFont="1" applyFill="1" applyAlignment="1">
      <alignment horizontal="center" vertical="center"/>
    </xf>
    <xf numFmtId="0" fontId="25" fillId="10" borderId="0" xfId="0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3" fillId="10" borderId="0" xfId="0" applyFont="1" applyFill="1" applyAlignment="1">
      <alignment vertical="center"/>
    </xf>
    <xf numFmtId="164" fontId="4" fillId="10" borderId="0" xfId="0" applyNumberFormat="1" applyFont="1" applyFill="1" applyAlignment="1">
      <alignment horizontal="center" vertical="center"/>
    </xf>
    <xf numFmtId="10" fontId="4" fillId="10" borderId="0" xfId="0" applyNumberFormat="1" applyFont="1" applyFill="1" applyAlignment="1">
      <alignment horizontal="center" vertical="center"/>
    </xf>
    <xf numFmtId="2" fontId="4" fillId="10" borderId="0" xfId="0" applyNumberFormat="1" applyFont="1" applyFill="1" applyAlignment="1">
      <alignment horizontal="center" vertical="center"/>
    </xf>
    <xf numFmtId="0" fontId="0" fillId="8" borderId="0" xfId="0" applyFill="1" applyAlignment="1">
      <alignment horizontal="centerContinuous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27" fillId="10" borderId="0" xfId="0" applyFont="1" applyFill="1" applyAlignment="1">
      <alignment horizontal="centerContinuous"/>
    </xf>
    <xf numFmtId="0" fontId="3" fillId="9" borderId="0" xfId="0" applyFont="1" applyFill="1" applyAlignment="1">
      <alignment horizontal="centerContinuous" vertical="center"/>
    </xf>
    <xf numFmtId="0" fontId="28" fillId="6" borderId="0" xfId="0" applyFont="1" applyFill="1" applyAlignment="1">
      <alignment horizontal="center" vertical="center"/>
    </xf>
    <xf numFmtId="0" fontId="29" fillId="3" borderId="0" xfId="0" applyFont="1" applyFill="1" applyAlignment="1">
      <alignment horizontal="centerContinuous" vertical="center"/>
    </xf>
    <xf numFmtId="0" fontId="3" fillId="3" borderId="0" xfId="0" applyFont="1" applyFill="1" applyAlignment="1">
      <alignment horizontal="centerContinuous" vertical="center"/>
    </xf>
    <xf numFmtId="0" fontId="30" fillId="11" borderId="0" xfId="0" applyFont="1" applyFill="1" applyAlignment="1">
      <alignment horizontal="centerContinuous" vertical="center"/>
    </xf>
    <xf numFmtId="0" fontId="3" fillId="11" borderId="0" xfId="0" applyFont="1" applyFill="1" applyAlignment="1">
      <alignment horizontal="centerContinuous" vertical="center"/>
    </xf>
    <xf numFmtId="0" fontId="31" fillId="8" borderId="0" xfId="0" applyFont="1" applyFill="1" applyAlignment="1">
      <alignment horizontal="centerContinuous" vertical="center"/>
    </xf>
    <xf numFmtId="0" fontId="3" fillId="8" borderId="0" xfId="0" applyFont="1" applyFill="1" applyAlignment="1">
      <alignment horizontal="centerContinuous" vertical="center"/>
    </xf>
    <xf numFmtId="164" fontId="34" fillId="8" borderId="0" xfId="0" applyNumberFormat="1" applyFont="1" applyFill="1" applyAlignment="1">
      <alignment horizontal="centerContinuous" vertical="center"/>
    </xf>
    <xf numFmtId="0" fontId="3" fillId="9" borderId="0" xfId="0" applyFont="1" applyFill="1" applyAlignment="1">
      <alignment horizontal="centerContinuous"/>
    </xf>
    <xf numFmtId="0" fontId="3" fillId="2" borderId="0" xfId="0" applyFont="1" applyFill="1" applyAlignment="1">
      <alignment horizontal="centerContinuous"/>
    </xf>
    <xf numFmtId="0" fontId="35" fillId="2" borderId="0" xfId="0" applyFont="1" applyFill="1" applyAlignment="1">
      <alignment horizontal="centerContinuous"/>
    </xf>
    <xf numFmtId="0" fontId="24" fillId="8" borderId="0" xfId="0" applyFont="1" applyFill="1" applyAlignment="1">
      <alignment horizontal="centerContinuous"/>
    </xf>
    <xf numFmtId="10" fontId="36" fillId="2" borderId="0" xfId="0" applyNumberFormat="1" applyFont="1" applyFill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164" fontId="36" fillId="2" borderId="0" xfId="0" applyNumberFormat="1" applyFont="1" applyFill="1" applyAlignment="1">
      <alignment horizontal="center" vertical="center"/>
    </xf>
    <xf numFmtId="164" fontId="37" fillId="8" borderId="0" xfId="0" applyNumberFormat="1" applyFont="1" applyFill="1" applyAlignment="1">
      <alignment horizontal="center" vertical="center"/>
    </xf>
    <xf numFmtId="10" fontId="37" fillId="8" borderId="0" xfId="0" applyNumberFormat="1" applyFont="1" applyFill="1" applyAlignment="1">
      <alignment horizontal="center" vertical="center"/>
    </xf>
    <xf numFmtId="0" fontId="38" fillId="9" borderId="0" xfId="0" applyFont="1" applyFill="1" applyAlignment="1">
      <alignment horizontal="centerContinuous" vertical="center"/>
    </xf>
    <xf numFmtId="0" fontId="38" fillId="9" borderId="0" xfId="0" applyFont="1" applyFill="1" applyAlignment="1">
      <alignment horizontal="centerContinuous"/>
    </xf>
    <xf numFmtId="0" fontId="39" fillId="9" borderId="0" xfId="0" applyFont="1" applyFill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32" fillId="3" borderId="0" xfId="0" applyNumberFormat="1" applyFont="1" applyFill="1" applyAlignment="1">
      <alignment horizontal="center" vertical="center"/>
    </xf>
    <xf numFmtId="10" fontId="32" fillId="3" borderId="0" xfId="0" applyNumberFormat="1" applyFont="1" applyFill="1" applyAlignment="1">
      <alignment horizontal="center" vertical="center"/>
    </xf>
    <xf numFmtId="164" fontId="33" fillId="11" borderId="0" xfId="0" applyNumberFormat="1" applyFont="1" applyFill="1" applyAlignment="1">
      <alignment horizontal="center" vertical="center"/>
    </xf>
    <xf numFmtId="10" fontId="33" fillId="11" borderId="0" xfId="0" applyNumberFormat="1" applyFont="1" applyFill="1" applyAlignment="1">
      <alignment horizontal="center" vertical="center"/>
    </xf>
    <xf numFmtId="164" fontId="34" fillId="8" borderId="0" xfId="0" applyNumberFormat="1" applyFont="1" applyFill="1" applyAlignment="1">
      <alignment horizontal="center" vertical="center"/>
    </xf>
    <xf numFmtId="0" fontId="19" fillId="7" borderId="0" xfId="0" applyFont="1" applyFill="1" applyAlignment="1">
      <alignment horizontal="centerContinuous"/>
    </xf>
    <xf numFmtId="0" fontId="20" fillId="7" borderId="0" xfId="0" applyFont="1" applyFill="1" applyAlignment="1">
      <alignment horizontal="centerContinuous" vertical="center"/>
    </xf>
    <xf numFmtId="0" fontId="21" fillId="7" borderId="0" xfId="0" applyFont="1" applyFill="1" applyAlignment="1">
      <alignment horizontal="centerContinuous"/>
    </xf>
    <xf numFmtId="0" fontId="16" fillId="6" borderId="0" xfId="0" applyFont="1" applyFill="1" applyAlignment="1">
      <alignment horizontal="centerContinuous"/>
    </xf>
    <xf numFmtId="0" fontId="17" fillId="6" borderId="0" xfId="0" applyFont="1" applyFill="1" applyAlignment="1">
      <alignment horizontal="centerContinuous" vertical="center"/>
    </xf>
    <xf numFmtId="0" fontId="18" fillId="6" borderId="0" xfId="0" applyFont="1" applyFill="1" applyAlignment="1">
      <alignment horizontal="centerContinuous"/>
    </xf>
    <xf numFmtId="0" fontId="13" fillId="5" borderId="0" xfId="0" applyFont="1" applyFill="1" applyAlignment="1">
      <alignment horizontal="centerContinuous"/>
    </xf>
    <xf numFmtId="0" fontId="14" fillId="5" borderId="0" xfId="0" applyFont="1" applyFill="1" applyAlignment="1">
      <alignment horizontal="centerContinuous" vertical="center"/>
    </xf>
    <xf numFmtId="0" fontId="15" fillId="5" borderId="0" xfId="0" applyFont="1" applyFill="1" applyAlignment="1">
      <alignment horizontal="centerContinuous"/>
    </xf>
  </cellXfs>
  <cellStyles count="1">
    <cellStyle name="Normal" xfId="0" builtinId="0"/>
  </cellStyles>
  <dxfs count="20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CCCCFF"/>
      <color rgb="FFFF999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EC13D2C8-C95A-4D37-AE7C-3052B1D884DB}" autoFormatId="16" applyNumberFormats="0" applyBorderFormats="0" applyFontFormats="0" applyPatternFormats="0" applyAlignmentFormats="0" applyWidthHeightFormats="0">
  <queryTableRefresh nextId="93">
    <queryTableFields count="46">
      <queryTableField id="47" name="SKU" tableColumnId="47"/>
      <queryTableField id="48" name="Product Name" tableColumnId="48"/>
      <queryTableField id="49" name="Category" tableColumnId="49"/>
      <queryTableField id="50" name="Recommendation" tableColumnId="50"/>
      <queryTableField id="51" name="Current Price" tableColumnId="51"/>
      <queryTableField id="52" name="Current Cost Per Unit" tableColumnId="52"/>
      <queryTableField id="53" name="Current Volume" tableColumnId="53"/>
      <queryTableField id="54" name="Current Gross Revenue" tableColumnId="54"/>
      <queryTableField id="55" name="Current COGS" tableColumnId="55"/>
      <queryTableField id="56" name="Current Gross Profit" tableColumnId="56"/>
      <queryTableField id="57" name="Current Gross Profit Margin %" tableColumnId="57"/>
      <queryTableField id="58" name="V1 Suggested Price" tableColumnId="58"/>
      <queryTableField id="59" name="V1 Difference $" tableColumnId="59"/>
      <queryTableField id="60" name="V1 Difference %" tableColumnId="60"/>
      <queryTableField id="61" name="V1 Gross Revenue Impact" tableColumnId="61"/>
      <queryTableField id="62" name="V1 Gross Profit Impact $" tableColumnId="62"/>
      <queryTableField id="63" name="Total Buyers" tableColumnId="63"/>
      <queryTableField id="64" name="Average Churn Score" tableColumnId="64"/>
      <queryTableField id="65" name="Average Projected Churn Rate" tableColumnId="65"/>
      <queryTableField id="66" name="Total Buyer LTV" tableColumnId="66"/>
      <queryTableField id="67" name="Total LTV at Risk" tableColumnId="67"/>
      <queryTableField id="68" name="% Critical" tableColumnId="68"/>
      <queryTableField id="69" name="% High" tableColumnId="69"/>
      <queryTableField id="70" name="% Medium" tableColumnId="70"/>
      <queryTableField id="71" name="%Low" tableColumnId="71"/>
      <queryTableField id="72" name="Dominant Tier" tableColumnId="72"/>
      <queryTableField id="73" name="Adjusted Price" tableColumnId="73"/>
      <queryTableField id="74" name="Adjusted Difference $" tableColumnId="74"/>
      <queryTableField id="75" name="Adjusted Difference %" tableColumnId="75"/>
      <queryTableField id="76" name="Adjusted Volume Change %" tableColumnId="76"/>
      <queryTableField id="77" name="Adjusted Volume" tableColumnId="77"/>
      <queryTableField id="78" name="Adjusted Projected Gross Revenue" tableColumnId="78"/>
      <queryTableField id="79" name="Adjusted Gross Revenue Impact" tableColumnId="79"/>
      <queryTableField id="80" name="Adjusted Gross Revenue Lift" tableColumnId="80"/>
      <queryTableField id="81" name="Adjusted COGS" tableColumnId="81"/>
      <queryTableField id="82" name="Adjusted COGS Impact" tableColumnId="82"/>
      <queryTableField id="83" name="Adjusted COGS Lift" tableColumnId="83"/>
      <queryTableField id="84" name="Adjusted Gross Profit" tableColumnId="84"/>
      <queryTableField id="85" name="Projected Gross Profit Impact $" tableColumnId="85"/>
      <queryTableField id="86" name="Projected Gross Profit Lift %" tableColumnId="86"/>
      <queryTableField id="87" name="Projected Gross Profit Margin %" tableColumnId="87"/>
      <queryTableField id="88" name="Project Gross Profit Margin Impact %" tableColumnId="88"/>
      <queryTableField id="89" name="Projected Gross Profit Margin Lift" tableColumnId="89"/>
      <queryTableField id="90" name="LTV Protected" tableColumnId="90"/>
      <queryTableField id="91" name="LTV Sacrificed" tableColumnId="91"/>
      <queryTableField id="92" name="LTV Protection-Adjusted Risk Ratio" tableColumnId="9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8E081A-2775-4838-96E3-BF270269F89C}" name="Model_Output" displayName="Model_Output" ref="A1:AT25" tableType="queryTable" totalsRowShown="0">
  <autoFilter ref="A1:AT25" xr:uid="{788E081A-2775-4838-96E3-BF270269F89C}"/>
  <tableColumns count="46">
    <tableColumn id="47" xr3:uid="{1DAC2F17-F845-4FDC-AC83-38A3ADD6D25E}" uniqueName="47" name="SKU" queryTableFieldId="47" dataDxfId="19"/>
    <tableColumn id="48" xr3:uid="{62DA201B-4CAA-44AD-AABD-26C481AF0912}" uniqueName="48" name="Product Name" queryTableFieldId="48" dataDxfId="18"/>
    <tableColumn id="49" xr3:uid="{CE800DC5-F6D3-48C0-896A-957FEC2E34E8}" uniqueName="49" name="Category" queryTableFieldId="49" dataDxfId="17"/>
    <tableColumn id="50" xr3:uid="{AE7A9EAF-F728-4484-B5AC-6B372AB8D7A1}" uniqueName="50" name="Recommendation" queryTableFieldId="50" dataDxfId="16"/>
    <tableColumn id="51" xr3:uid="{B7153D0B-ED4A-4425-BE92-66D436485D9B}" uniqueName="51" name="Current Price" queryTableFieldId="51"/>
    <tableColumn id="52" xr3:uid="{AE96D50E-0056-4DED-A1CC-235E8BC9D672}" uniqueName="52" name="Current Cost Per Unit" queryTableFieldId="52"/>
    <tableColumn id="53" xr3:uid="{33CD73E2-5DFD-4839-9B2E-96CABD7A729B}" uniqueName="53" name="Current Volume" queryTableFieldId="53"/>
    <tableColumn id="54" xr3:uid="{149057F7-072D-4268-B79B-A8DABF18BA5A}" uniqueName="54" name="Current Gross Revenue" queryTableFieldId="54"/>
    <tableColumn id="55" xr3:uid="{EF06AF2E-2C06-4CD2-8822-EF7B07503A8A}" uniqueName="55" name="Current COGS" queryTableFieldId="55"/>
    <tableColumn id="56" xr3:uid="{EA33AB33-4CA6-4BB4-8B25-9CA8A815A4B8}" uniqueName="56" name="Current Gross Profit" queryTableFieldId="56"/>
    <tableColumn id="57" xr3:uid="{B85CFADF-BECE-415D-9E31-8AFF507B5EFD}" uniqueName="57" name="Current Gross Profit Margin %" queryTableFieldId="57"/>
    <tableColumn id="58" xr3:uid="{B17A7A8B-BB76-440F-99F6-A4AAEA0247B3}" uniqueName="58" name="V1 Suggested Price" queryTableFieldId="58"/>
    <tableColumn id="59" xr3:uid="{13AB9B4B-3247-4EA1-A72D-8D88D10BA1BC}" uniqueName="59" name="V1 Difference $" queryTableFieldId="59"/>
    <tableColumn id="60" xr3:uid="{13A527DB-E309-43B2-9CFB-B9977B347CE1}" uniqueName="60" name="V1 Difference %" queryTableFieldId="60"/>
    <tableColumn id="61" xr3:uid="{6F09B434-2BA8-42C4-8356-E5ABF72DB3F8}" uniqueName="61" name="V1 Gross Revenue Impact" queryTableFieldId="61"/>
    <tableColumn id="62" xr3:uid="{077DB2A9-7695-4F74-B7BD-43BF02DF50E9}" uniqueName="62" name="V1 Gross Profit Impact $" queryTableFieldId="62"/>
    <tableColumn id="63" xr3:uid="{3A795E48-2779-4B4B-B493-11D30332346A}" uniqueName="63" name="Total Buyers" queryTableFieldId="63"/>
    <tableColumn id="64" xr3:uid="{41CF73ED-44E9-46A8-B195-52F96A9DF486}" uniqueName="64" name="Average Churn Score" queryTableFieldId="64"/>
    <tableColumn id="65" xr3:uid="{23E53EE5-1C92-4669-998B-0B2AB9156AE9}" uniqueName="65" name="Average Projected Churn Rate" queryTableFieldId="65"/>
    <tableColumn id="66" xr3:uid="{9F0AFB32-953A-4F62-8DB7-F29156DBD11B}" uniqueName="66" name="Total Buyer LTV" queryTableFieldId="66"/>
    <tableColumn id="67" xr3:uid="{7FC75204-9A55-4A93-920E-01622B491E3B}" uniqueName="67" name="Total LTV at Risk" queryTableFieldId="67"/>
    <tableColumn id="68" xr3:uid="{F5ACD6B4-DF1F-4F0A-8999-71BFEDE815CB}" uniqueName="68" name="% Critical" queryTableFieldId="68"/>
    <tableColumn id="69" xr3:uid="{59B9743D-BACE-4F9A-8656-7CC34F47DCCF}" uniqueName="69" name="% High" queryTableFieldId="69"/>
    <tableColumn id="70" xr3:uid="{89A7041C-C923-4E64-A2E2-EC0E3EE2FD92}" uniqueName="70" name="% Medium" queryTableFieldId="70"/>
    <tableColumn id="71" xr3:uid="{55F2D4AC-0997-42E1-8252-41F6EA799015}" uniqueName="71" name="%Low" queryTableFieldId="71"/>
    <tableColumn id="72" xr3:uid="{FA8CDE6A-1D29-4C49-B670-F1DA3C05DB55}" uniqueName="72" name="Dominant Tier" queryTableFieldId="72" dataDxfId="15"/>
    <tableColumn id="73" xr3:uid="{90DD0733-162D-4C16-ADAB-6105953B538C}" uniqueName="73" name="Adjusted Price" queryTableFieldId="73"/>
    <tableColumn id="74" xr3:uid="{BCC23257-A236-4CAE-BB10-7D0C403A2091}" uniqueName="74" name="Adjusted Difference $" queryTableFieldId="74"/>
    <tableColumn id="75" xr3:uid="{43928EB0-99C6-423F-8C4C-3509570A7CDA}" uniqueName="75" name="Adjusted Difference %" queryTableFieldId="75"/>
    <tableColumn id="76" xr3:uid="{A7AF3BDF-D921-493F-87E6-C492EACC6504}" uniqueName="76" name="Adjusted Volume Change %" queryTableFieldId="76"/>
    <tableColumn id="77" xr3:uid="{FFA94FE0-3D4D-4903-B42A-4B393D70FD69}" uniqueName="77" name="Adjusted Volume" queryTableFieldId="77"/>
    <tableColumn id="78" xr3:uid="{F10CEBF6-585B-497F-A3E3-496B251548ED}" uniqueName="78" name="Adjusted Projected Gross Revenue" queryTableFieldId="78"/>
    <tableColumn id="79" xr3:uid="{8EE81B2D-9ADE-4444-B5B5-0702572202E4}" uniqueName="79" name="Adjusted Gross Revenue Impact" queryTableFieldId="79"/>
    <tableColumn id="80" xr3:uid="{9C5A97D4-37CC-4292-8A19-CA24A0AAAA94}" uniqueName="80" name="Adjusted Gross Revenue Lift" queryTableFieldId="80"/>
    <tableColumn id="81" xr3:uid="{F0550F6A-2703-4016-9630-1A33C2060CC6}" uniqueName="81" name="Adjusted COGS" queryTableFieldId="81"/>
    <tableColumn id="82" xr3:uid="{3F7F8174-CB7D-4825-8937-8A6F9703EDF4}" uniqueName="82" name="Adjusted COGS Impact" queryTableFieldId="82"/>
    <tableColumn id="83" xr3:uid="{8A952266-32B2-45FF-981D-429BAA8B2905}" uniqueName="83" name="Adjusted COGS Lift" queryTableFieldId="83"/>
    <tableColumn id="84" xr3:uid="{DB912914-1EC6-425C-AF90-AEA854FAC19D}" uniqueName="84" name="Adjusted Gross Profit" queryTableFieldId="84"/>
    <tableColumn id="85" xr3:uid="{962F2699-5622-48DC-8781-CE41F854AFBF}" uniqueName="85" name="Projected Gross Profit Impact $" queryTableFieldId="85"/>
    <tableColumn id="86" xr3:uid="{0436A70D-59EE-42E5-BE3A-13BE4951026D}" uniqueName="86" name="Projected Gross Profit Lift %" queryTableFieldId="86"/>
    <tableColumn id="87" xr3:uid="{04096C8A-7C22-42AF-8E26-2EA25CBB75C7}" uniqueName="87" name="Projected Gross Profit Margin %" queryTableFieldId="87"/>
    <tableColumn id="88" xr3:uid="{0031C65D-5493-46B2-998D-E4B276A97E0A}" uniqueName="88" name="Project Gross Profit Margin Impact %" queryTableFieldId="88"/>
    <tableColumn id="89" xr3:uid="{042EA184-B30C-4CA3-8CDB-F03B4109C836}" uniqueName="89" name="Projected Gross Profit Margin Lift" queryTableFieldId="89"/>
    <tableColumn id="90" xr3:uid="{D5E2CF6D-ADD0-49E9-88D5-0C5D1FD8D49E}" uniqueName="90" name="LTV Protected" queryTableFieldId="90"/>
    <tableColumn id="91" xr3:uid="{BEEF0971-9C0D-411B-A799-7C204B558FD0}" uniqueName="91" name="LTV Sacrificed" queryTableFieldId="91"/>
    <tableColumn id="92" xr3:uid="{599712D6-C49E-4B63-A1E7-C9AD3BC28159}" uniqueName="92" name="LTV Protection-Adjusted Risk Ratio" queryTableFieldId="9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1370E9-E99A-4DC9-9394-53076B5B23AA}" name="tbl_Path" displayName="tbl_Path" ref="A1:A2" totalsRowShown="0">
  <autoFilter ref="A1:A2" xr:uid="{3C1370E9-E99A-4DC9-9394-53076B5B23AA}"/>
  <tableColumns count="1">
    <tableColumn id="1" xr3:uid="{1AEDA9A3-AFE7-442D-8A11-25493DB92547}" name="FilePath">
      <calculatedColumnFormula array="1">LEFT(CELL("filename",A1),SEARCH("[",CELL("filename",A1))-1)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C07F7-5DCC-481C-8F94-5797971F85BD}">
  <sheetPr>
    <tabColor rgb="FF00B050"/>
  </sheetPr>
  <dimension ref="A1:J37"/>
  <sheetViews>
    <sheetView tabSelected="1" workbookViewId="0"/>
  </sheetViews>
  <sheetFormatPr defaultRowHeight="15" x14ac:dyDescent="0.25"/>
  <cols>
    <col min="1" max="1" width="34" customWidth="1"/>
    <col min="2" max="2" width="33" customWidth="1"/>
    <col min="3" max="3" width="8.7109375" bestFit="1" customWidth="1"/>
    <col min="4" max="4" width="24.85546875" customWidth="1"/>
    <col min="5" max="5" width="28.28515625" customWidth="1"/>
    <col min="6" max="6" width="7.7109375" bestFit="1" customWidth="1"/>
    <col min="7" max="7" width="14.85546875" bestFit="1" customWidth="1"/>
    <col min="8" max="8" width="7.85546875" bestFit="1" customWidth="1"/>
    <col min="9" max="9" width="13.5703125" bestFit="1" customWidth="1"/>
    <col min="10" max="10" width="43" bestFit="1" customWidth="1"/>
  </cols>
  <sheetData>
    <row r="1" spans="1:10" ht="23.25" x14ac:dyDescent="0.35">
      <c r="A1" s="12" t="s">
        <v>76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5.75" x14ac:dyDescent="0.25">
      <c r="A2" s="14" t="s">
        <v>68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18.75" x14ac:dyDescent="0.3">
      <c r="A3" s="2" t="s">
        <v>133</v>
      </c>
      <c r="B3" s="4" t="s">
        <v>69</v>
      </c>
      <c r="C3" s="63" t="s">
        <v>132</v>
      </c>
      <c r="D3" s="63"/>
      <c r="E3" s="60" t="s">
        <v>70</v>
      </c>
      <c r="F3" s="60"/>
      <c r="G3" s="57" t="s">
        <v>71</v>
      </c>
      <c r="H3" s="57"/>
      <c r="I3" s="57"/>
      <c r="J3" s="6" t="s">
        <v>134</v>
      </c>
    </row>
    <row r="4" spans="1:10" ht="23.25" x14ac:dyDescent="0.3">
      <c r="A4" s="8" t="str">
        <f>TEXT(COUNTA($A$13:$A$36), "0")</f>
        <v>24</v>
      </c>
      <c r="B4" s="9" t="str">
        <f>IF(SUM($G$13:$G$36) &gt; 0, "+ ", "-  ") &amp; TEXT(SUM($G$13:$G$36), "$0,00.00")</f>
        <v>+ $5,575.32</v>
      </c>
      <c r="C4" s="64" t="str" cm="1">
        <f t="array" ref="C4">IF(AVERAGE($H$13:$H$36) &gt; 0, "+ ", "- ") &amp; ROUND(AVERAGE(H13:H36 * 100),2) &amp; "%"</f>
        <v>+ 12.33%</v>
      </c>
      <c r="D4" s="64"/>
      <c r="E4" s="61" t="str">
        <f>TEXT(AVERAGE($F$13:$F$36), "0.00%")</f>
        <v>8.88%</v>
      </c>
      <c r="F4" s="60"/>
      <c r="G4" s="58" t="str">
        <f>TEXT(SUM(Model_Output[LTV Protected]) + SUM(Model_Output[LTV Sacrificed]), "$0,00.00")</f>
        <v>$29,113.56</v>
      </c>
      <c r="H4" s="57"/>
      <c r="I4" s="57"/>
      <c r="J4" s="10" t="str">
        <f>TEXT(AVERAGE($J$13:$J$36), "0.00%")</f>
        <v>66.91%</v>
      </c>
    </row>
    <row r="5" spans="1:10" ht="18.75" x14ac:dyDescent="0.3">
      <c r="A5" s="3" t="str">
        <f>COUNTIF($C$13:$C$36,"Raise") &amp; " Raise | " &amp; COUNTIF($C$13:$C$36, "Hold") &amp; " Hold | " &amp; COUNTIF($C$13:$C$36, "Reduce") &amp; " Reduce"</f>
        <v>20 Raise | 4 Hold | 0 Reduce</v>
      </c>
      <c r="B5" s="5" t="str">
        <f>"on $"&amp;TEXT(SUM(Model_Output[Current Gross Profit]),"#,##0.00")&amp;" current GP"</f>
        <v>on $44,900.96 current GP</v>
      </c>
      <c r="C5" s="65" t="str">
        <f>"GP Margin: " &amp;TEXT(AVERAGE(Model_Output[Current Gross Profit Margin %]),"0.00%")&amp;" → "&amp;TEXT(AVERAGE(Model_Output[Projected Gross Profit Margin %]),"0.00%")</f>
        <v>GP Margin: 53.73% → 57.28%</v>
      </c>
      <c r="D5" s="65"/>
      <c r="E5" s="62" t="str">
        <f>IFERROR(TEXT(SUM(Model_Output[Adjusted Difference %]) / SUM(Model_Output[V1 Difference %]), "0.0%"), "0%") &amp; " of V1 suggested"</f>
        <v>59.9% of V1 suggested</v>
      </c>
      <c r="F5" s="60"/>
      <c r="G5" s="59" t="str">
        <f>"Across all " &amp;TEXT(COUNTA($I$13:$I$36), "0") &amp;" SKUs"</f>
        <v>Across all 24 SKUs</v>
      </c>
      <c r="H5" s="57"/>
      <c r="I5" s="57"/>
      <c r="J5" s="7" t="str">
        <f>TEXT(SUM(Model_Output[LTV Protected]), "$0,00") &amp; " protected"</f>
        <v>$11,671 protected</v>
      </c>
    </row>
    <row r="11" spans="1:10" x14ac:dyDescent="0.25">
      <c r="A11" s="49" t="str">
        <f>"SKU RESULTS SUMMARY - ALL "&amp;TEXT(COUNTA(_xlfn.ANCHORARRAY($A$13)),"0") &amp; " SKUs"</f>
        <v>SKU RESULTS SUMMARY - ALL 24 SKUs</v>
      </c>
      <c r="B11" s="11"/>
      <c r="C11" s="11"/>
      <c r="D11" s="11"/>
      <c r="E11" s="11"/>
      <c r="F11" s="11"/>
      <c r="G11" s="11"/>
      <c r="H11" s="11"/>
      <c r="I11" s="11"/>
      <c r="J11" s="11"/>
    </row>
    <row r="12" spans="1:10" ht="18.75" x14ac:dyDescent="0.25">
      <c r="A12" s="15" t="s">
        <v>72</v>
      </c>
      <c r="B12" s="15" t="s">
        <v>2</v>
      </c>
      <c r="C12" s="15" t="s">
        <v>73</v>
      </c>
      <c r="D12" s="15" t="s">
        <v>4</v>
      </c>
      <c r="E12" s="15" t="s">
        <v>74</v>
      </c>
      <c r="F12" s="16" t="s">
        <v>77</v>
      </c>
      <c r="G12" s="16" t="s">
        <v>75</v>
      </c>
      <c r="H12" s="16" t="s">
        <v>131</v>
      </c>
      <c r="I12" s="16" t="s">
        <v>71</v>
      </c>
      <c r="J12" s="16" t="s">
        <v>135</v>
      </c>
    </row>
    <row r="13" spans="1:10" ht="15.75" x14ac:dyDescent="0.25">
      <c r="A13" s="1" t="str" cm="1">
        <f t="array" ref="A13:A36">Model_Output[Product Name]</f>
        <v>Wireless Earbuds</v>
      </c>
      <c r="B13" s="1" t="str">
        <f>_xlfn.XLOOKUP($A13,Model_Output[Product Name], Model_Output[Category])</f>
        <v>Electronics</v>
      </c>
      <c r="C13" s="51" t="str">
        <f>_xlfn.XLOOKUP($A13,Model_Output[Product Name], Model_Output[Recommendation])</f>
        <v>Raise</v>
      </c>
      <c r="D13" s="17">
        <f>_xlfn.XLOOKUP($A13,Model_Output[Product Name], Model_Output[Current Price])</f>
        <v>76.53</v>
      </c>
      <c r="E13" s="17">
        <f>_xlfn.XLOOKUP($A13,Model_Output[Product Name], Model_Output[Adjusted Price])</f>
        <v>78.975793703182276</v>
      </c>
      <c r="F13" s="18">
        <f>_xlfn.XLOOKUP($A13,Model_Output[Product Name], Model_Output[Adjusted Difference %])</f>
        <v>3.1958626723928851E-2</v>
      </c>
      <c r="G13" s="17">
        <f>_xlfn.XLOOKUP($A13,Model_Output[Product Name], Model_Output[Projected Gross Profit Impact $])</f>
        <v>50.717330093461896</v>
      </c>
      <c r="H13" s="18">
        <f>_xlfn.XLOOKUP($A13,Model_Output[Product Name], Model_Output[Projected Gross Profit Lift %])</f>
        <v>8.9657279899345729E-2</v>
      </c>
      <c r="I13" s="17">
        <f>_xlfn.XLOOKUP($A13,Model_Output[Product Name], Model_Output[Total LTV at Risk])</f>
        <v>1112.0931944026663</v>
      </c>
      <c r="J13" s="18">
        <f>_xlfn.XLOOKUP($A13,Model_Output[Product Name], Model_Output[LTV Protection-Adjusted Risk Ratio])</f>
        <v>0.66666666666666685</v>
      </c>
    </row>
    <row r="14" spans="1:10" ht="15.75" x14ac:dyDescent="0.25">
      <c r="A14" s="1" t="str">
        <v>Bluetooth Speaker</v>
      </c>
      <c r="B14" s="1" t="str">
        <f>_xlfn.XLOOKUP($A14,Model_Output[Product Name], Model_Output[Category])</f>
        <v>Electronics</v>
      </c>
      <c r="C14" s="51" t="str">
        <f>_xlfn.XLOOKUP($A14,Model_Output[Product Name], Model_Output[Recommendation])</f>
        <v>Raise</v>
      </c>
      <c r="D14" s="17">
        <f>_xlfn.XLOOKUP($A14,Model_Output[Product Name], Model_Output[Current Price])</f>
        <v>53.26</v>
      </c>
      <c r="E14" s="17">
        <f>_xlfn.XLOOKUP($A14,Model_Output[Product Name], Model_Output[Adjusted Price])</f>
        <v>55.842395076522543</v>
      </c>
      <c r="F14" s="18">
        <f>_xlfn.XLOOKUP($A14,Model_Output[Product Name], Model_Output[Adjusted Difference %])</f>
        <v>4.8486576727798436E-2</v>
      </c>
      <c r="G14" s="17">
        <f>_xlfn.XLOOKUP($A14,Model_Output[Product Name], Model_Output[Projected Gross Profit Impact $])</f>
        <v>46.409406028196827</v>
      </c>
      <c r="H14" s="18">
        <f>_xlfn.XLOOKUP($A14,Model_Output[Product Name], Model_Output[Projected Gross Profit Lift %])</f>
        <v>0.1329706206755969</v>
      </c>
      <c r="I14" s="17">
        <f>_xlfn.XLOOKUP($A14,Model_Output[Product Name], Model_Output[Total LTV at Risk])</f>
        <v>1487.0300026323653</v>
      </c>
      <c r="J14" s="18">
        <f>_xlfn.XLOOKUP($A14,Model_Output[Product Name], Model_Output[LTV Protection-Adjusted Risk Ratio])</f>
        <v>0.66666666666666752</v>
      </c>
    </row>
    <row r="15" spans="1:10" ht="15.75" x14ac:dyDescent="0.25">
      <c r="A15" s="1" t="str">
        <v>USB-C Hub</v>
      </c>
      <c r="B15" s="1" t="str">
        <f>_xlfn.XLOOKUP($A15,Model_Output[Product Name], Model_Output[Category])</f>
        <v>Electronics</v>
      </c>
      <c r="C15" s="51" t="str">
        <f>_xlfn.XLOOKUP($A15,Model_Output[Product Name], Model_Output[Recommendation])</f>
        <v>Hold</v>
      </c>
      <c r="D15" s="17">
        <f>_xlfn.XLOOKUP($A15,Model_Output[Product Name], Model_Output[Current Price])</f>
        <v>18.39</v>
      </c>
      <c r="E15" s="17">
        <f>_xlfn.XLOOKUP($A15,Model_Output[Product Name], Model_Output[Adjusted Price])</f>
        <v>19.551372991870085</v>
      </c>
      <c r="F15" s="18">
        <f>_xlfn.XLOOKUP($A15,Model_Output[Product Name], Model_Output[Adjusted Difference %])</f>
        <v>6.3152419351282477E-2</v>
      </c>
      <c r="G15" s="17">
        <f>_xlfn.XLOOKUP($A15,Model_Output[Product Name], Model_Output[Projected Gross Profit Impact $])</f>
        <v>14.894413710598059</v>
      </c>
      <c r="H15" s="18">
        <f>_xlfn.XLOOKUP($A15,Model_Output[Product Name], Model_Output[Projected Gross Profit Lift %])</f>
        <v>8.6489830501121065E-2</v>
      </c>
      <c r="I15" s="17">
        <f>_xlfn.XLOOKUP($A15,Model_Output[Product Name], Model_Output[Total LTV at Risk])</f>
        <v>1216.0706729565338</v>
      </c>
      <c r="J15" s="18">
        <f>_xlfn.XLOOKUP($A15,Model_Output[Product Name], Model_Output[LTV Protection-Adjusted Risk Ratio])</f>
        <v>0.66666666666666685</v>
      </c>
    </row>
    <row r="16" spans="1:10" ht="15.75" x14ac:dyDescent="0.25">
      <c r="A16" s="1" t="str">
        <v>Mechanical Keyboard</v>
      </c>
      <c r="B16" s="1" t="str">
        <f>_xlfn.XLOOKUP($A16,Model_Output[Product Name], Model_Output[Category])</f>
        <v>Electronics</v>
      </c>
      <c r="C16" s="51" t="str">
        <f>_xlfn.XLOOKUP($A16,Model_Output[Product Name], Model_Output[Recommendation])</f>
        <v>Hold</v>
      </c>
      <c r="D16" s="17">
        <f>_xlfn.XLOOKUP($A16,Model_Output[Product Name], Model_Output[Current Price])</f>
        <v>113.18</v>
      </c>
      <c r="E16" s="17">
        <f>_xlfn.XLOOKUP($A16,Model_Output[Product Name], Model_Output[Adjusted Price])</f>
        <v>118.51610734298887</v>
      </c>
      <c r="F16" s="18">
        <f>_xlfn.XLOOKUP($A16,Model_Output[Product Name], Model_Output[Adjusted Difference %])</f>
        <v>4.7147087320983098E-2</v>
      </c>
      <c r="G16" s="17">
        <f>_xlfn.XLOOKUP($A16,Model_Output[Product Name], Model_Output[Projected Gross Profit Impact $])</f>
        <v>92.081154931400079</v>
      </c>
      <c r="H16" s="18">
        <f>_xlfn.XLOOKUP($A16,Model_Output[Product Name], Model_Output[Projected Gross Profit Lift %])</f>
        <v>5.1728661032874969E-2</v>
      </c>
      <c r="I16" s="17">
        <f>_xlfn.XLOOKUP($A16,Model_Output[Product Name], Model_Output[Total LTV at Risk])</f>
        <v>1378.1368137193899</v>
      </c>
      <c r="J16" s="18">
        <f>_xlfn.XLOOKUP($A16,Model_Output[Product Name], Model_Output[LTV Protection-Adjusted Risk Ratio])</f>
        <v>0.66666666666666774</v>
      </c>
    </row>
    <row r="17" spans="1:10" ht="15.75" x14ac:dyDescent="0.25">
      <c r="A17" s="1" t="str">
        <v>Phone Stand</v>
      </c>
      <c r="B17" s="1" t="str">
        <f>_xlfn.XLOOKUP($A17,Model_Output[Product Name], Model_Output[Category])</f>
        <v>Electronics</v>
      </c>
      <c r="C17" s="51" t="str">
        <f>_xlfn.XLOOKUP($A17,Model_Output[Product Name], Model_Output[Recommendation])</f>
        <v>Raise</v>
      </c>
      <c r="D17" s="17">
        <f>_xlfn.XLOOKUP($A17,Model_Output[Product Name], Model_Output[Current Price])</f>
        <v>177.91</v>
      </c>
      <c r="E17" s="17">
        <f>_xlfn.XLOOKUP($A17,Model_Output[Product Name], Model_Output[Adjusted Price])</f>
        <v>197.38145233606977</v>
      </c>
      <c r="F17" s="18">
        <f>_xlfn.XLOOKUP($A17,Model_Output[Product Name], Model_Output[Adjusted Difference %])</f>
        <v>0.10944551928542395</v>
      </c>
      <c r="G17" s="17">
        <f>_xlfn.XLOOKUP($A17,Model_Output[Product Name], Model_Output[Projected Gross Profit Impact $])</f>
        <v>505.7174376608823</v>
      </c>
      <c r="H17" s="18">
        <f>_xlfn.XLOOKUP($A17,Model_Output[Product Name], Model_Output[Projected Gross Profit Lift %])</f>
        <v>0.13453080445978907</v>
      </c>
      <c r="I17" s="17">
        <f>_xlfn.XLOOKUP($A17,Model_Output[Product Name], Model_Output[Total LTV at Risk])</f>
        <v>1987.17375700722</v>
      </c>
      <c r="J17" s="18">
        <f>_xlfn.XLOOKUP($A17,Model_Output[Product Name], Model_Output[LTV Protection-Adjusted Risk Ratio])</f>
        <v>0.66666666666666774</v>
      </c>
    </row>
    <row r="18" spans="1:10" ht="15.75" x14ac:dyDescent="0.25">
      <c r="A18" s="1" t="str">
        <v>Slim Fit Jeans</v>
      </c>
      <c r="B18" s="1" t="str">
        <f>_xlfn.XLOOKUP($A18,Model_Output[Product Name], Model_Output[Category])</f>
        <v>Apparel</v>
      </c>
      <c r="C18" s="51" t="str">
        <f>_xlfn.XLOOKUP($A18,Model_Output[Product Name], Model_Output[Recommendation])</f>
        <v>Raise</v>
      </c>
      <c r="D18" s="17">
        <f>_xlfn.XLOOKUP($A18,Model_Output[Product Name], Model_Output[Current Price])</f>
        <v>45.86</v>
      </c>
      <c r="E18" s="17">
        <f>_xlfn.XLOOKUP($A18,Model_Output[Product Name], Model_Output[Adjusted Price])</f>
        <v>52.899020932382761</v>
      </c>
      <c r="F18" s="18">
        <f>_xlfn.XLOOKUP($A18,Model_Output[Product Name], Model_Output[Adjusted Difference %])</f>
        <v>0.15348933563852513</v>
      </c>
      <c r="G18" s="17">
        <f>_xlfn.XLOOKUP($A18,Model_Output[Product Name], Model_Output[Projected Gross Profit Impact $])</f>
        <v>223.36266169471219</v>
      </c>
      <c r="H18" s="18">
        <f>_xlfn.XLOOKUP($A18,Model_Output[Product Name], Model_Output[Projected Gross Profit Lift %])</f>
        <v>0.25336629879842126</v>
      </c>
      <c r="I18" s="17">
        <f>_xlfn.XLOOKUP($A18,Model_Output[Product Name], Model_Output[Total LTV at Risk])</f>
        <v>1838.4436548864205</v>
      </c>
      <c r="J18" s="18">
        <f>_xlfn.XLOOKUP($A18,Model_Output[Product Name], Model_Output[LTV Protection-Adjusted Risk Ratio])</f>
        <v>0.66666666666666674</v>
      </c>
    </row>
    <row r="19" spans="1:10" ht="15.75" x14ac:dyDescent="0.25">
      <c r="A19" s="1" t="str">
        <v>Graphic Tee</v>
      </c>
      <c r="B19" s="1" t="str">
        <f>_xlfn.XLOOKUP($A19,Model_Output[Product Name], Model_Output[Category])</f>
        <v>Apparel</v>
      </c>
      <c r="C19" s="51" t="str">
        <f>_xlfn.XLOOKUP($A19,Model_Output[Product Name], Model_Output[Recommendation])</f>
        <v>Raise</v>
      </c>
      <c r="D19" s="17">
        <f>_xlfn.XLOOKUP($A19,Model_Output[Product Name], Model_Output[Current Price])</f>
        <v>67.56</v>
      </c>
      <c r="E19" s="17">
        <f>_xlfn.XLOOKUP($A19,Model_Output[Product Name], Model_Output[Adjusted Price])</f>
        <v>71.933095490968242</v>
      </c>
      <c r="F19" s="18">
        <f>_xlfn.XLOOKUP($A19,Model_Output[Product Name], Model_Output[Adjusted Difference %])</f>
        <v>6.4729062921377131E-2</v>
      </c>
      <c r="G19" s="17">
        <f>_xlfn.XLOOKUP($A19,Model_Output[Product Name], Model_Output[Projected Gross Profit Impact $])</f>
        <v>79.846973114383104</v>
      </c>
      <c r="H19" s="18">
        <f>_xlfn.XLOOKUP($A19,Model_Output[Product Name], Model_Output[Projected Gross Profit Lift %])</f>
        <v>0.14905165785772462</v>
      </c>
      <c r="I19" s="17">
        <f>_xlfn.XLOOKUP($A19,Model_Output[Product Name], Model_Output[Total LTV at Risk])</f>
        <v>1511.5432138179046</v>
      </c>
      <c r="J19" s="18">
        <f>_xlfn.XLOOKUP($A19,Model_Output[Product Name], Model_Output[LTV Protection-Adjusted Risk Ratio])</f>
        <v>0.66666666666666763</v>
      </c>
    </row>
    <row r="20" spans="1:10" ht="15.75" x14ac:dyDescent="0.25">
      <c r="A20" s="1" t="str">
        <v>Wool Sweater</v>
      </c>
      <c r="B20" s="1" t="str">
        <f>_xlfn.XLOOKUP($A20,Model_Output[Product Name], Model_Output[Category])</f>
        <v>Apparel</v>
      </c>
      <c r="C20" s="51" t="str">
        <f>_xlfn.XLOOKUP($A20,Model_Output[Product Name], Model_Output[Recommendation])</f>
        <v>Raise</v>
      </c>
      <c r="D20" s="17">
        <f>_xlfn.XLOOKUP($A20,Model_Output[Product Name], Model_Output[Current Price])</f>
        <v>143.80000000000001</v>
      </c>
      <c r="E20" s="17">
        <f>_xlfn.XLOOKUP($A20,Model_Output[Product Name], Model_Output[Adjusted Price])</f>
        <v>163.17671709921524</v>
      </c>
      <c r="F20" s="18">
        <f>_xlfn.XLOOKUP($A20,Model_Output[Product Name], Model_Output[Adjusted Difference %])</f>
        <v>0.13474768497368028</v>
      </c>
      <c r="G20" s="17">
        <f>_xlfn.XLOOKUP($A20,Model_Output[Product Name], Model_Output[Projected Gross Profit Impact $])</f>
        <v>404.01264738176269</v>
      </c>
      <c r="H20" s="18">
        <f>_xlfn.XLOOKUP($A20,Model_Output[Product Name], Model_Output[Projected Gross Profit Lift %])</f>
        <v>0.17062425718764387</v>
      </c>
      <c r="I20" s="17">
        <f>_xlfn.XLOOKUP($A20,Model_Output[Product Name], Model_Output[Total LTV at Risk])</f>
        <v>1207.1798191480714</v>
      </c>
      <c r="J20" s="18">
        <f>_xlfn.XLOOKUP($A20,Model_Output[Product Name], Model_Output[LTV Protection-Adjusted Risk Ratio])</f>
        <v>0.66666666666666674</v>
      </c>
    </row>
    <row r="21" spans="1:10" ht="15.75" x14ac:dyDescent="0.25">
      <c r="A21" s="1" t="str">
        <v>Canvas Tote Bag</v>
      </c>
      <c r="B21" s="1" t="str">
        <f>_xlfn.XLOOKUP($A21,Model_Output[Product Name], Model_Output[Category])</f>
        <v>Apparel</v>
      </c>
      <c r="C21" s="51" t="str">
        <f>_xlfn.XLOOKUP($A21,Model_Output[Product Name], Model_Output[Recommendation])</f>
        <v>Raise</v>
      </c>
      <c r="D21" s="17">
        <f>_xlfn.XLOOKUP($A21,Model_Output[Product Name], Model_Output[Current Price])</f>
        <v>160.35</v>
      </c>
      <c r="E21" s="17">
        <f>_xlfn.XLOOKUP($A21,Model_Output[Product Name], Model_Output[Adjusted Price])</f>
        <v>173.51238545969298</v>
      </c>
      <c r="F21" s="18">
        <f>_xlfn.XLOOKUP($A21,Model_Output[Product Name], Model_Output[Adjusted Difference %])</f>
        <v>8.2085347425587679E-2</v>
      </c>
      <c r="G21" s="17">
        <f>_xlfn.XLOOKUP($A21,Model_Output[Product Name], Model_Output[Projected Gross Profit Impact $])</f>
        <v>354.41084641051339</v>
      </c>
      <c r="H21" s="18">
        <f>_xlfn.XLOOKUP($A21,Model_Output[Product Name], Model_Output[Projected Gross Profit Lift %])</f>
        <v>0.11202487179819497</v>
      </c>
      <c r="I21" s="17">
        <f>_xlfn.XLOOKUP($A21,Model_Output[Product Name], Model_Output[Total LTV at Risk])</f>
        <v>1437.4209803104648</v>
      </c>
      <c r="J21" s="18">
        <f>_xlfn.XLOOKUP($A21,Model_Output[Product Name], Model_Output[LTV Protection-Adjusted Risk Ratio])</f>
        <v>0.66666666666666752</v>
      </c>
    </row>
    <row r="22" spans="1:10" ht="15.75" x14ac:dyDescent="0.25">
      <c r="A22" s="1" t="str">
        <v>Air Fryer</v>
      </c>
      <c r="B22" s="1" t="str">
        <f>_xlfn.XLOOKUP($A22,Model_Output[Product Name], Model_Output[Category])</f>
        <v>Home &amp; Kitchen</v>
      </c>
      <c r="C22" s="51" t="str">
        <f>_xlfn.XLOOKUP($A22,Model_Output[Product Name], Model_Output[Recommendation])</f>
        <v>Raise</v>
      </c>
      <c r="D22" s="17">
        <f>_xlfn.XLOOKUP($A22,Model_Output[Product Name], Model_Output[Current Price])</f>
        <v>98.51</v>
      </c>
      <c r="E22" s="17">
        <f>_xlfn.XLOOKUP($A22,Model_Output[Product Name], Model_Output[Adjusted Price])</f>
        <v>108.78291207274761</v>
      </c>
      <c r="F22" s="18">
        <f>_xlfn.XLOOKUP($A22,Model_Output[Product Name], Model_Output[Adjusted Difference %])</f>
        <v>0.10428293648104356</v>
      </c>
      <c r="G22" s="17">
        <f>_xlfn.XLOOKUP($A22,Model_Output[Product Name], Model_Output[Projected Gross Profit Impact $])</f>
        <v>273.24260857567128</v>
      </c>
      <c r="H22" s="18">
        <f>_xlfn.XLOOKUP($A22,Model_Output[Product Name], Model_Output[Projected Gross Profit Lift %])</f>
        <v>0.1854302563693852</v>
      </c>
      <c r="I22" s="17">
        <f>_xlfn.XLOOKUP($A22,Model_Output[Product Name], Model_Output[Total LTV at Risk])</f>
        <v>1821.0803839968587</v>
      </c>
      <c r="J22" s="18">
        <f>_xlfn.XLOOKUP($A22,Model_Output[Product Name], Model_Output[LTV Protection-Adjusted Risk Ratio])</f>
        <v>0.66666666666666718</v>
      </c>
    </row>
    <row r="23" spans="1:10" ht="15.75" x14ac:dyDescent="0.25">
      <c r="A23" s="1" t="str">
        <v>Dish Rack</v>
      </c>
      <c r="B23" s="1" t="str">
        <f>_xlfn.XLOOKUP($A23,Model_Output[Product Name], Model_Output[Category])</f>
        <v>Home &amp; Kitchen</v>
      </c>
      <c r="C23" s="51" t="str">
        <f>_xlfn.XLOOKUP($A23,Model_Output[Product Name], Model_Output[Recommendation])</f>
        <v>Raise</v>
      </c>
      <c r="D23" s="17">
        <f>_xlfn.XLOOKUP($A23,Model_Output[Product Name], Model_Output[Current Price])</f>
        <v>106.06</v>
      </c>
      <c r="E23" s="17">
        <f>_xlfn.XLOOKUP($A23,Model_Output[Product Name], Model_Output[Adjusted Price])</f>
        <v>117.99989235447971</v>
      </c>
      <c r="F23" s="18">
        <f>_xlfn.XLOOKUP($A23,Model_Output[Product Name], Model_Output[Adjusted Difference %])</f>
        <v>0.11257677120950131</v>
      </c>
      <c r="G23" s="17">
        <f>_xlfn.XLOOKUP($A23,Model_Output[Product Name], Model_Output[Projected Gross Profit Impact $])</f>
        <v>317.1167952526821</v>
      </c>
      <c r="H23" s="18">
        <f>_xlfn.XLOOKUP($A23,Model_Output[Product Name], Model_Output[Projected Gross Profit Lift %])</f>
        <v>0.11193832431544466</v>
      </c>
      <c r="I23" s="17">
        <f>_xlfn.XLOOKUP($A23,Model_Output[Product Name], Model_Output[Total LTV at Risk])</f>
        <v>1061.3751512398956</v>
      </c>
      <c r="J23" s="18">
        <f>_xlfn.XLOOKUP($A23,Model_Output[Product Name], Model_Output[LTV Protection-Adjusted Risk Ratio])</f>
        <v>0.66666666666666707</v>
      </c>
    </row>
    <row r="24" spans="1:10" ht="15.75" x14ac:dyDescent="0.25">
      <c r="A24" s="1" t="str">
        <v>Storage Bins</v>
      </c>
      <c r="B24" s="1" t="str">
        <f>_xlfn.XLOOKUP($A24,Model_Output[Product Name], Model_Output[Category])</f>
        <v>Home &amp; Kitchen</v>
      </c>
      <c r="C24" s="51" t="str">
        <f>_xlfn.XLOOKUP($A24,Model_Output[Product Name], Model_Output[Recommendation])</f>
        <v>Raise</v>
      </c>
      <c r="D24" s="17">
        <f>_xlfn.XLOOKUP($A24,Model_Output[Product Name], Model_Output[Current Price])</f>
        <v>34.479999999999997</v>
      </c>
      <c r="E24" s="17">
        <f>_xlfn.XLOOKUP($A24,Model_Output[Product Name], Model_Output[Adjusted Price])</f>
        <v>35.936897151785665</v>
      </c>
      <c r="F24" s="18">
        <f>_xlfn.XLOOKUP($A24,Model_Output[Product Name], Model_Output[Adjusted Difference %])</f>
        <v>4.2253397673598266E-2</v>
      </c>
      <c r="G24" s="17">
        <f>_xlfn.XLOOKUP($A24,Model_Output[Product Name], Model_Output[Projected Gross Profit Impact $])</f>
        <v>22.31924105587899</v>
      </c>
      <c r="H24" s="18">
        <f>_xlfn.XLOOKUP($A24,Model_Output[Product Name], Model_Output[Projected Gross Profit Lift %])</f>
        <v>7.7079848928992251E-2</v>
      </c>
      <c r="I24" s="17">
        <f>_xlfn.XLOOKUP($A24,Model_Output[Product Name], Model_Output[Total LTV at Risk])</f>
        <v>804.52718410151249</v>
      </c>
      <c r="J24" s="18">
        <f>_xlfn.XLOOKUP($A24,Model_Output[Product Name], Model_Output[LTV Protection-Adjusted Risk Ratio])</f>
        <v>0.66666666666666841</v>
      </c>
    </row>
    <row r="25" spans="1:10" ht="15.75" x14ac:dyDescent="0.25">
      <c r="A25" s="1" t="str">
        <v>Scented Candle</v>
      </c>
      <c r="B25" s="1" t="str">
        <f>_xlfn.XLOOKUP($A25,Model_Output[Product Name], Model_Output[Category])</f>
        <v>Home &amp; Kitchen</v>
      </c>
      <c r="C25" s="51" t="str">
        <f>_xlfn.XLOOKUP($A25,Model_Output[Product Name], Model_Output[Recommendation])</f>
        <v>Raise</v>
      </c>
      <c r="D25" s="17">
        <f>_xlfn.XLOOKUP($A25,Model_Output[Product Name], Model_Output[Current Price])</f>
        <v>148.11000000000001</v>
      </c>
      <c r="E25" s="17">
        <f>_xlfn.XLOOKUP($A25,Model_Output[Product Name], Model_Output[Adjusted Price])</f>
        <v>157.82483512929298</v>
      </c>
      <c r="F25" s="18">
        <f>_xlfn.XLOOKUP($A25,Model_Output[Product Name], Model_Output[Adjusted Difference %])</f>
        <v>6.5592027069697953E-2</v>
      </c>
      <c r="G25" s="17">
        <f>_xlfn.XLOOKUP($A25,Model_Output[Product Name], Model_Output[Projected Gross Profit Impact $])</f>
        <v>199.83094988718585</v>
      </c>
      <c r="H25" s="18">
        <f>_xlfn.XLOOKUP($A25,Model_Output[Product Name], Model_Output[Projected Gross Profit Lift %])</f>
        <v>9.4318163528966395E-2</v>
      </c>
      <c r="I25" s="17">
        <f>_xlfn.XLOOKUP($A25,Model_Output[Product Name], Model_Output[Total LTV at Risk])</f>
        <v>1774.9243566264481</v>
      </c>
      <c r="J25" s="18">
        <f>_xlfn.XLOOKUP($A25,Model_Output[Product Name], Model_Output[LTV Protection-Adjusted Risk Ratio])</f>
        <v>0.72413793103448421</v>
      </c>
    </row>
    <row r="26" spans="1:10" ht="15.75" x14ac:dyDescent="0.25">
      <c r="A26" s="1" t="str">
        <v>Vitamin C Serum</v>
      </c>
      <c r="B26" s="1" t="str">
        <f>_xlfn.XLOOKUP($A26,Model_Output[Product Name], Model_Output[Category])</f>
        <v>Beauty &amp; Personal Care</v>
      </c>
      <c r="C26" s="51" t="str">
        <f>_xlfn.XLOOKUP($A26,Model_Output[Product Name], Model_Output[Recommendation])</f>
        <v>Raise</v>
      </c>
      <c r="D26" s="17">
        <f>_xlfn.XLOOKUP($A26,Model_Output[Product Name], Model_Output[Current Price])</f>
        <v>54.64</v>
      </c>
      <c r="E26" s="17">
        <f>_xlfn.XLOOKUP($A26,Model_Output[Product Name], Model_Output[Adjusted Price])</f>
        <v>62.781457043857259</v>
      </c>
      <c r="F26" s="18">
        <f>_xlfn.XLOOKUP($A26,Model_Output[Product Name], Model_Output[Adjusted Difference %])</f>
        <v>0.14900177605888101</v>
      </c>
      <c r="G26" s="17">
        <f>_xlfn.XLOOKUP($A26,Model_Output[Product Name], Model_Output[Projected Gross Profit Impact $])</f>
        <v>308.58982211333159</v>
      </c>
      <c r="H26" s="18">
        <f>_xlfn.XLOOKUP($A26,Model_Output[Product Name], Model_Output[Projected Gross Profit Lift %])</f>
        <v>0.16348263515222061</v>
      </c>
      <c r="I26" s="17">
        <f>_xlfn.XLOOKUP($A26,Model_Output[Product Name], Model_Output[Total LTV at Risk])</f>
        <v>2363.2455169389877</v>
      </c>
      <c r="J26" s="18">
        <f>_xlfn.XLOOKUP($A26,Model_Output[Product Name], Model_Output[LTV Protection-Adjusted Risk Ratio])</f>
        <v>0.66666666666666607</v>
      </c>
    </row>
    <row r="27" spans="1:10" ht="15.75" x14ac:dyDescent="0.25">
      <c r="A27" s="1" t="str">
        <v>SPF Moisturizer</v>
      </c>
      <c r="B27" s="1" t="str">
        <f>_xlfn.XLOOKUP($A27,Model_Output[Product Name], Model_Output[Category])</f>
        <v>Beauty &amp; Personal Care</v>
      </c>
      <c r="C27" s="51" t="str">
        <f>_xlfn.XLOOKUP($A27,Model_Output[Product Name], Model_Output[Recommendation])</f>
        <v>Raise</v>
      </c>
      <c r="D27" s="17">
        <f>_xlfn.XLOOKUP($A27,Model_Output[Product Name], Model_Output[Current Price])</f>
        <v>230.34</v>
      </c>
      <c r="E27" s="17">
        <f>_xlfn.XLOOKUP($A27,Model_Output[Product Name], Model_Output[Adjusted Price])</f>
        <v>267.36740202736343</v>
      </c>
      <c r="F27" s="18">
        <f>_xlfn.XLOOKUP($A27,Model_Output[Product Name], Model_Output[Adjusted Difference %])</f>
        <v>0.16075107244665895</v>
      </c>
      <c r="G27" s="17">
        <f>_xlfn.XLOOKUP($A27,Model_Output[Product Name], Model_Output[Projected Gross Profit Impact $])</f>
        <v>517.38790778261455</v>
      </c>
      <c r="H27" s="18">
        <f>_xlfn.XLOOKUP($A27,Model_Output[Product Name], Model_Output[Projected Gross Profit Lift %])</f>
        <v>0.15827778117833574</v>
      </c>
      <c r="I27" s="17">
        <f>_xlfn.XLOOKUP($A27,Model_Output[Product Name], Model_Output[Total LTV at Risk])</f>
        <v>1125.247970158546</v>
      </c>
      <c r="J27" s="18">
        <f>_xlfn.XLOOKUP($A27,Model_Output[Product Name], Model_Output[LTV Protection-Adjusted Risk Ratio])</f>
        <v>0.66666666666666552</v>
      </c>
    </row>
    <row r="28" spans="1:10" ht="15.75" x14ac:dyDescent="0.25">
      <c r="A28" s="1" t="str">
        <v>Electric Toothbrush</v>
      </c>
      <c r="B28" s="1" t="str">
        <f>_xlfn.XLOOKUP($A28,Model_Output[Product Name], Model_Output[Category])</f>
        <v>Beauty &amp; Personal Care</v>
      </c>
      <c r="C28" s="51" t="str">
        <f>_xlfn.XLOOKUP($A28,Model_Output[Product Name], Model_Output[Recommendation])</f>
        <v>Raise</v>
      </c>
      <c r="D28" s="17">
        <f>_xlfn.XLOOKUP($A28,Model_Output[Product Name], Model_Output[Current Price])</f>
        <v>224.77</v>
      </c>
      <c r="E28" s="17">
        <f>_xlfn.XLOOKUP($A28,Model_Output[Product Name], Model_Output[Adjusted Price])</f>
        <v>244.71696687999997</v>
      </c>
      <c r="F28" s="18">
        <f>_xlfn.XLOOKUP($A28,Model_Output[Product Name], Model_Output[Adjusted Difference %])</f>
        <v>8.8743902122169163E-2</v>
      </c>
      <c r="G28" s="17">
        <f>_xlfn.XLOOKUP($A28,Model_Output[Product Name], Model_Output[Projected Gross Profit Impact $])</f>
        <v>210.85446415063689</v>
      </c>
      <c r="H28" s="18">
        <f>_xlfn.XLOOKUP($A28,Model_Output[Product Name], Model_Output[Projected Gross Profit Lift %])</f>
        <v>9.6293768164879626E-2</v>
      </c>
      <c r="I28" s="17">
        <f>_xlfn.XLOOKUP($A28,Model_Output[Product Name], Model_Output[Total LTV at Risk])</f>
        <v>411.31040074586326</v>
      </c>
      <c r="J28" s="18">
        <f>_xlfn.XLOOKUP($A28,Model_Output[Product Name], Model_Output[LTV Protection-Adjusted Risk Ratio])</f>
        <v>0.66666666666666763</v>
      </c>
    </row>
    <row r="29" spans="1:10" ht="15.75" x14ac:dyDescent="0.25">
      <c r="A29" s="1" t="str">
        <v>Face Mask Kit</v>
      </c>
      <c r="B29" s="1" t="str">
        <f>_xlfn.XLOOKUP($A29,Model_Output[Product Name], Model_Output[Category])</f>
        <v>Beauty &amp; Personal Care</v>
      </c>
      <c r="C29" s="51" t="str">
        <f>_xlfn.XLOOKUP($A29,Model_Output[Product Name], Model_Output[Recommendation])</f>
        <v>Raise</v>
      </c>
      <c r="D29" s="17">
        <f>_xlfn.XLOOKUP($A29,Model_Output[Product Name], Model_Output[Current Price])</f>
        <v>196.28</v>
      </c>
      <c r="E29" s="17">
        <f>_xlfn.XLOOKUP($A29,Model_Output[Product Name], Model_Output[Adjusted Price])</f>
        <v>215.84807267438828</v>
      </c>
      <c r="F29" s="18">
        <f>_xlfn.XLOOKUP($A29,Model_Output[Product Name], Model_Output[Adjusted Difference %])</f>
        <v>9.9694684503710398E-2</v>
      </c>
      <c r="G29" s="17">
        <f>_xlfn.XLOOKUP($A29,Model_Output[Product Name], Model_Output[Projected Gross Profit Impact $])</f>
        <v>525.19611367110429</v>
      </c>
      <c r="H29" s="18">
        <f>_xlfn.XLOOKUP($A29,Model_Output[Product Name], Model_Output[Projected Gross Profit Lift %])</f>
        <v>0.11096708438190207</v>
      </c>
      <c r="I29" s="17">
        <f>_xlfn.XLOOKUP($A29,Model_Output[Product Name], Model_Output[Total LTV at Risk])</f>
        <v>1597.9585464320285</v>
      </c>
      <c r="J29" s="18">
        <f>_xlfn.XLOOKUP($A29,Model_Output[Product Name], Model_Output[LTV Protection-Adjusted Risk Ratio])</f>
        <v>0.66666666666666663</v>
      </c>
    </row>
    <row r="30" spans="1:10" ht="15.75" x14ac:dyDescent="0.25">
      <c r="A30" s="1" t="str">
        <v>Body Lotion</v>
      </c>
      <c r="B30" s="1" t="str">
        <f>_xlfn.XLOOKUP($A30,Model_Output[Product Name], Model_Output[Category])</f>
        <v>Beauty &amp; Personal Care</v>
      </c>
      <c r="C30" s="51" t="str">
        <f>_xlfn.XLOOKUP($A30,Model_Output[Product Name], Model_Output[Recommendation])</f>
        <v>Raise</v>
      </c>
      <c r="D30" s="17">
        <f>_xlfn.XLOOKUP($A30,Model_Output[Product Name], Model_Output[Current Price])</f>
        <v>49.1</v>
      </c>
      <c r="E30" s="17">
        <f>_xlfn.XLOOKUP($A30,Model_Output[Product Name], Model_Output[Adjusted Price])</f>
        <v>50.997784977476769</v>
      </c>
      <c r="F30" s="18">
        <f>_xlfn.XLOOKUP($A30,Model_Output[Product Name], Model_Output[Adjusted Difference %])</f>
        <v>3.865142520319282E-2</v>
      </c>
      <c r="G30" s="17">
        <f>_xlfn.XLOOKUP($A30,Model_Output[Product Name], Model_Output[Projected Gross Profit Impact $])</f>
        <v>58.217889119253641</v>
      </c>
      <c r="H30" s="18">
        <f>_xlfn.XLOOKUP($A30,Model_Output[Product Name], Model_Output[Projected Gross Profit Lift %])</f>
        <v>8.2466271629063462E-2</v>
      </c>
      <c r="I30" s="17">
        <f>_xlfn.XLOOKUP($A30,Model_Output[Product Name], Model_Output[Total LTV at Risk])</f>
        <v>1772.0208758689498</v>
      </c>
      <c r="J30" s="18">
        <f>_xlfn.XLOOKUP($A30,Model_Output[Product Name], Model_Output[LTV Protection-Adjusted Risk Ratio])</f>
        <v>0.66666666666666929</v>
      </c>
    </row>
    <row r="31" spans="1:10" ht="15.75" x14ac:dyDescent="0.25">
      <c r="A31" s="1" t="str">
        <v>Perfume Roller</v>
      </c>
      <c r="B31" s="1" t="str">
        <f>_xlfn.XLOOKUP($A31,Model_Output[Product Name], Model_Output[Category])</f>
        <v>Beauty &amp; Personal Care</v>
      </c>
      <c r="C31" s="51" t="str">
        <f>_xlfn.XLOOKUP($A31,Model_Output[Product Name], Model_Output[Recommendation])</f>
        <v>Raise</v>
      </c>
      <c r="D31" s="17">
        <f>_xlfn.XLOOKUP($A31,Model_Output[Product Name], Model_Output[Current Price])</f>
        <v>31.81</v>
      </c>
      <c r="E31" s="17">
        <f>_xlfn.XLOOKUP($A31,Model_Output[Product Name], Model_Output[Adjusted Price])</f>
        <v>33.854041953100328</v>
      </c>
      <c r="F31" s="18">
        <f>_xlfn.XLOOKUP($A31,Model_Output[Product Name], Model_Output[Adjusted Difference %])</f>
        <v>6.4257841971088636E-2</v>
      </c>
      <c r="G31" s="17">
        <f>_xlfn.XLOOKUP($A31,Model_Output[Product Name], Model_Output[Projected Gross Profit Impact $])</f>
        <v>36.18420643418267</v>
      </c>
      <c r="H31" s="18">
        <f>_xlfn.XLOOKUP($A31,Model_Output[Product Name], Model_Output[Projected Gross Profit Lift %])</f>
        <v>6.836883596444529E-2</v>
      </c>
      <c r="I31" s="17">
        <f>_xlfn.XLOOKUP($A31,Model_Output[Product Name], Model_Output[Total LTV at Risk])</f>
        <v>1396.9812800741929</v>
      </c>
      <c r="J31" s="18">
        <f>_xlfn.XLOOKUP($A31,Model_Output[Product Name], Model_Output[LTV Protection-Adjusted Risk Ratio])</f>
        <v>0.66666666666666885</v>
      </c>
    </row>
    <row r="32" spans="1:10" ht="15.75" x14ac:dyDescent="0.25">
      <c r="A32" s="1" t="str">
        <v>Nail Polish Set</v>
      </c>
      <c r="B32" s="1" t="str">
        <f>_xlfn.XLOOKUP($A32,Model_Output[Product Name], Model_Output[Category])</f>
        <v>Beauty &amp; Personal Care</v>
      </c>
      <c r="C32" s="51" t="str">
        <f>_xlfn.XLOOKUP($A32,Model_Output[Product Name], Model_Output[Recommendation])</f>
        <v>Raise</v>
      </c>
      <c r="D32" s="17">
        <f>_xlfn.XLOOKUP($A32,Model_Output[Product Name], Model_Output[Current Price])</f>
        <v>189.99</v>
      </c>
      <c r="E32" s="17">
        <f>_xlfn.XLOOKUP($A32,Model_Output[Product Name], Model_Output[Adjusted Price])</f>
        <v>215.28046371273902</v>
      </c>
      <c r="F32" s="18">
        <f>_xlfn.XLOOKUP($A32,Model_Output[Product Name], Model_Output[Adjusted Difference %])</f>
        <v>0.13311470978861525</v>
      </c>
      <c r="G32" s="17">
        <f>_xlfn.XLOOKUP($A32,Model_Output[Product Name], Model_Output[Projected Gross Profit Impact $])</f>
        <v>481.86071416271807</v>
      </c>
      <c r="H32" s="18">
        <f>_xlfn.XLOOKUP($A32,Model_Output[Product Name], Model_Output[Projected Gross Profit Lift %])</f>
        <v>0.1360634979451065</v>
      </c>
      <c r="I32" s="17">
        <f>_xlfn.XLOOKUP($A32,Model_Output[Product Name], Model_Output[Total LTV at Risk])</f>
        <v>1631.9228817867202</v>
      </c>
      <c r="J32" s="18">
        <f>_xlfn.XLOOKUP($A32,Model_Output[Product Name], Model_Output[LTV Protection-Adjusted Risk Ratio])</f>
        <v>0.66666666666666663</v>
      </c>
    </row>
    <row r="33" spans="1:10" ht="15.75" x14ac:dyDescent="0.25">
      <c r="A33" s="1" t="str">
        <v>Jump Rope</v>
      </c>
      <c r="B33" s="1" t="str">
        <f>_xlfn.XLOOKUP($A33,Model_Output[Product Name], Model_Output[Category])</f>
        <v>Sports &amp; Outdoors</v>
      </c>
      <c r="C33" s="51" t="str">
        <f>_xlfn.XLOOKUP($A33,Model_Output[Product Name], Model_Output[Recommendation])</f>
        <v>Hold</v>
      </c>
      <c r="D33" s="17">
        <f>_xlfn.XLOOKUP($A33,Model_Output[Product Name], Model_Output[Current Price])</f>
        <v>112.56</v>
      </c>
      <c r="E33" s="17">
        <f>_xlfn.XLOOKUP($A33,Model_Output[Product Name], Model_Output[Adjusted Price])</f>
        <v>119.78796669037288</v>
      </c>
      <c r="F33" s="18">
        <f>_xlfn.XLOOKUP($A33,Model_Output[Product Name], Model_Output[Adjusted Difference %])</f>
        <v>6.4214345152566465E-2</v>
      </c>
      <c r="G33" s="17">
        <f>_xlfn.XLOOKUP($A33,Model_Output[Product Name], Model_Output[Projected Gross Profit Impact $])</f>
        <v>220.61175614088506</v>
      </c>
      <c r="H33" s="18">
        <f>_xlfn.XLOOKUP($A33,Model_Output[Product Name], Model_Output[Projected Gross Profit Lift %])</f>
        <v>9.2771974827958417E-2</v>
      </c>
      <c r="I33" s="17">
        <f>_xlfn.XLOOKUP($A33,Model_Output[Product Name], Model_Output[Total LTV at Risk])</f>
        <v>2590.186588054918</v>
      </c>
      <c r="J33" s="18">
        <f>_xlfn.XLOOKUP($A33,Model_Output[Product Name], Model_Output[LTV Protection-Adjusted Risk Ratio])</f>
        <v>0.6666666666666673</v>
      </c>
    </row>
    <row r="34" spans="1:10" ht="15.75" x14ac:dyDescent="0.25">
      <c r="A34" s="1" t="str">
        <v>Foam Roller</v>
      </c>
      <c r="B34" s="1" t="str">
        <f>_xlfn.XLOOKUP($A34,Model_Output[Product Name], Model_Output[Category])</f>
        <v>Sports &amp; Outdoors</v>
      </c>
      <c r="C34" s="51" t="str">
        <f>_xlfn.XLOOKUP($A34,Model_Output[Product Name], Model_Output[Recommendation])</f>
        <v>Raise</v>
      </c>
      <c r="D34" s="17">
        <f>_xlfn.XLOOKUP($A34,Model_Output[Product Name], Model_Output[Current Price])</f>
        <v>144.94999999999999</v>
      </c>
      <c r="E34" s="17">
        <f>_xlfn.XLOOKUP($A34,Model_Output[Product Name], Model_Output[Adjusted Price])</f>
        <v>167.1111143082619</v>
      </c>
      <c r="F34" s="18">
        <f>_xlfn.XLOOKUP($A34,Model_Output[Product Name], Model_Output[Adjusted Difference %])</f>
        <v>0.15288799108838852</v>
      </c>
      <c r="G34" s="17">
        <f>_xlfn.XLOOKUP($A34,Model_Output[Product Name], Model_Output[Projected Gross Profit Impact $])</f>
        <v>316.57744708202813</v>
      </c>
      <c r="H34" s="18">
        <f>_xlfn.XLOOKUP($A34,Model_Output[Product Name], Model_Output[Projected Gross Profit Lift %])</f>
        <v>0.24589685506278208</v>
      </c>
      <c r="I34" s="17">
        <f>_xlfn.XLOOKUP($A34,Model_Output[Product Name], Model_Output[Total LTV at Risk])</f>
        <v>1457.9708511723543</v>
      </c>
      <c r="J34" s="18">
        <f>_xlfn.XLOOKUP($A34,Model_Output[Product Name], Model_Output[LTV Protection-Adjusted Risk Ratio])</f>
        <v>0.66666666666666585</v>
      </c>
    </row>
    <row r="35" spans="1:10" ht="15.75" x14ac:dyDescent="0.25">
      <c r="A35" s="1" t="str">
        <v>Gym Bag</v>
      </c>
      <c r="B35" s="1" t="str">
        <f>_xlfn.XLOOKUP($A35,Model_Output[Product Name], Model_Output[Category])</f>
        <v>Sports &amp; Outdoors</v>
      </c>
      <c r="C35" s="51" t="str">
        <f>_xlfn.XLOOKUP($A35,Model_Output[Product Name], Model_Output[Recommendation])</f>
        <v>Hold</v>
      </c>
      <c r="D35" s="17">
        <f>_xlfn.XLOOKUP($A35,Model_Output[Product Name], Model_Output[Current Price])</f>
        <v>101.6</v>
      </c>
      <c r="E35" s="17">
        <f>_xlfn.XLOOKUP($A35,Model_Output[Product Name], Model_Output[Adjusted Price])</f>
        <v>107.15395156594535</v>
      </c>
      <c r="F35" s="18">
        <f>_xlfn.XLOOKUP($A35,Model_Output[Product Name], Model_Output[Adjusted Difference %])</f>
        <v>5.466487761757239E-2</v>
      </c>
      <c r="G35" s="17">
        <f>_xlfn.XLOOKUP($A35,Model_Output[Product Name], Model_Output[Projected Gross Profit Impact $])</f>
        <v>157.37939093994805</v>
      </c>
      <c r="H35" s="18">
        <f>_xlfn.XLOOKUP($A35,Model_Output[Product Name], Model_Output[Projected Gross Profit Lift %])</f>
        <v>7.888533109107991E-2</v>
      </c>
      <c r="I35" s="17">
        <f>_xlfn.XLOOKUP($A35,Model_Output[Product Name], Model_Output[Total LTV at Risk])</f>
        <v>1862.6932397664843</v>
      </c>
      <c r="J35" s="18">
        <f>_xlfn.XLOOKUP($A35,Model_Output[Product Name], Model_Output[LTV Protection-Adjusted Risk Ratio])</f>
        <v>0.66666666666666674</v>
      </c>
    </row>
    <row r="36" spans="1:10" ht="15.75" x14ac:dyDescent="0.25">
      <c r="A36" s="1" t="str">
        <v>Protein Shaker</v>
      </c>
      <c r="B36" s="1" t="str">
        <f>_xlfn.XLOOKUP($A36,Model_Output[Product Name], Model_Output[Category])</f>
        <v>Sports &amp; Outdoors</v>
      </c>
      <c r="C36" s="51" t="str">
        <f>_xlfn.XLOOKUP($A36,Model_Output[Product Name], Model_Output[Recommendation])</f>
        <v>Raise</v>
      </c>
      <c r="D36" s="17">
        <f>_xlfn.XLOOKUP($A36,Model_Output[Product Name], Model_Output[Current Price])</f>
        <v>99.75</v>
      </c>
      <c r="E36" s="17">
        <f>_xlfn.XLOOKUP($A36,Model_Output[Product Name], Model_Output[Adjusted Price])</f>
        <v>106.16045473951499</v>
      </c>
      <c r="F36" s="18">
        <f>_xlfn.XLOOKUP($A36,Model_Output[Product Name], Model_Output[Adjusted Difference %])</f>
        <v>6.4265210421202895E-2</v>
      </c>
      <c r="G36" s="17">
        <f>_xlfn.XLOOKUP($A36,Model_Output[Product Name], Model_Output[Projected Gross Profit Impact $])</f>
        <v>158.49637689467272</v>
      </c>
      <c r="H36" s="18">
        <f>_xlfn.XLOOKUP($A36,Model_Output[Product Name], Model_Output[Projected Gross Profit Lift %])</f>
        <v>7.5651706328480409E-2</v>
      </c>
      <c r="I36" s="17">
        <f>_xlfn.XLOOKUP($A36,Model_Output[Product Name], Model_Output[Total LTV at Risk])</f>
        <v>1533.9834111929088</v>
      </c>
      <c r="J36" s="18">
        <f>_xlfn.XLOOKUP($A36,Model_Output[Product Name], Model_Output[LTV Protection-Adjusted Risk Ratio])</f>
        <v>0.66666666666666829</v>
      </c>
    </row>
    <row r="37" spans="1:10" ht="15.75" x14ac:dyDescent="0.25">
      <c r="A37" s="20" t="s">
        <v>78</v>
      </c>
      <c r="B37" s="21"/>
      <c r="C37" s="21"/>
      <c r="D37" s="21"/>
      <c r="E37" s="22">
        <f>AVERAGE($E13:$E36)</f>
        <v>122.64135640475912</v>
      </c>
      <c r="F37" s="23">
        <f>AVERAGE($F13:$F36)</f>
        <v>8.875810954901979E-2</v>
      </c>
      <c r="G37" s="22">
        <f>SUM($G13:$G36)</f>
        <v>5575.3185542887031</v>
      </c>
      <c r="H37" s="23">
        <f>AVERAGE($H13:$H36)</f>
        <v>0.12326402571165644</v>
      </c>
      <c r="I37" s="22">
        <f>SUM($I13:$I36)</f>
        <v>36380.520747037706</v>
      </c>
      <c r="J37" s="23">
        <f>AVERAGE($J13:$J36)</f>
        <v>0.66906130268199304</v>
      </c>
    </row>
  </sheetData>
  <conditionalFormatting sqref="A13:B36">
    <cfRule type="expression" dxfId="14" priority="3">
      <formula>MOD(ROW(),2)=1</formula>
    </cfRule>
  </conditionalFormatting>
  <conditionalFormatting sqref="C13:C36">
    <cfRule type="containsText" dxfId="13" priority="7" operator="containsText" text="Reduce">
      <formula>NOT(ISERROR(SEARCH("Reduce",C13)))</formula>
    </cfRule>
    <cfRule type="containsText" dxfId="12" priority="8" operator="containsText" text="Hold">
      <formula>NOT(ISERROR(SEARCH("Hold",C13)))</formula>
    </cfRule>
    <cfRule type="containsText" dxfId="11" priority="9" operator="containsText" text="Raise">
      <formula>NOT(ISERROR(SEARCH("Raise",C13)))</formula>
    </cfRule>
  </conditionalFormatting>
  <conditionalFormatting sqref="D13:J36">
    <cfRule type="expression" dxfId="10" priority="1">
      <formula>MOD(ROW(),2)=1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B8C20-A617-446B-BB6A-AB77D1F393BF}">
  <sheetPr>
    <tabColor rgb="FF00B050"/>
  </sheetPr>
  <dimension ref="A1:P28"/>
  <sheetViews>
    <sheetView workbookViewId="0"/>
  </sheetViews>
  <sheetFormatPr defaultRowHeight="15" x14ac:dyDescent="0.25"/>
  <cols>
    <col min="1" max="1" width="21.140625" bestFit="1" customWidth="1"/>
    <col min="2" max="2" width="23.42578125" bestFit="1" customWidth="1"/>
    <col min="3" max="3" width="16.42578125" bestFit="1" customWidth="1"/>
    <col min="4" max="4" width="21.7109375" bestFit="1" customWidth="1"/>
    <col min="5" max="5" width="10.5703125" bestFit="1" customWidth="1"/>
    <col min="6" max="6" width="8.42578125" bestFit="1" customWidth="1"/>
    <col min="7" max="7" width="16.5703125" bestFit="1" customWidth="1"/>
    <col min="8" max="8" width="16.42578125" bestFit="1" customWidth="1"/>
    <col min="9" max="9" width="12.140625" bestFit="1" customWidth="1"/>
    <col min="10" max="10" width="10" bestFit="1" customWidth="1"/>
    <col min="11" max="11" width="18.28515625" bestFit="1" customWidth="1"/>
    <col min="12" max="12" width="18.140625" bestFit="1" customWidth="1"/>
    <col min="13" max="13" width="13.5703125" bestFit="1" customWidth="1"/>
    <col min="14" max="14" width="17.28515625" bestFit="1" customWidth="1"/>
    <col min="15" max="15" width="17" bestFit="1" customWidth="1"/>
    <col min="16" max="16" width="17.140625" bestFit="1" customWidth="1"/>
  </cols>
  <sheetData>
    <row r="1" spans="1:16" ht="23.25" x14ac:dyDescent="0.35">
      <c r="A1" s="12" t="s">
        <v>79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2" spans="1:16" s="26" customFormat="1" ht="15.75" x14ac:dyDescent="0.25">
      <c r="A2" s="47" t="s">
        <v>87</v>
      </c>
      <c r="B2" s="29"/>
      <c r="C2" s="29"/>
      <c r="D2" s="30" t="s">
        <v>88</v>
      </c>
      <c r="E2" s="31" t="s">
        <v>85</v>
      </c>
      <c r="F2" s="32"/>
      <c r="G2" s="32"/>
      <c r="H2" s="32"/>
      <c r="I2" s="33" t="s">
        <v>86</v>
      </c>
      <c r="J2" s="34"/>
      <c r="K2" s="34"/>
      <c r="L2" s="34"/>
      <c r="M2" s="35" t="s">
        <v>94</v>
      </c>
      <c r="N2" s="36"/>
      <c r="O2" s="36"/>
      <c r="P2" s="36"/>
    </row>
    <row r="3" spans="1:16" ht="18.75" x14ac:dyDescent="0.25">
      <c r="A3" s="15" t="s">
        <v>72</v>
      </c>
      <c r="B3" s="15" t="s">
        <v>2</v>
      </c>
      <c r="C3" s="15" t="s">
        <v>4</v>
      </c>
      <c r="D3" s="15" t="s">
        <v>3</v>
      </c>
      <c r="E3" s="15" t="s">
        <v>80</v>
      </c>
      <c r="F3" s="15" t="s">
        <v>81</v>
      </c>
      <c r="G3" s="15" t="s">
        <v>138</v>
      </c>
      <c r="H3" s="15" t="s">
        <v>82</v>
      </c>
      <c r="I3" s="15" t="s">
        <v>74</v>
      </c>
      <c r="J3" s="15" t="s">
        <v>83</v>
      </c>
      <c r="K3" s="15" t="s">
        <v>139</v>
      </c>
      <c r="L3" s="15" t="s">
        <v>84</v>
      </c>
      <c r="M3" s="15" t="s">
        <v>71</v>
      </c>
      <c r="N3" s="15" t="s">
        <v>43</v>
      </c>
      <c r="O3" s="15" t="s">
        <v>44</v>
      </c>
      <c r="P3" s="15" t="s">
        <v>136</v>
      </c>
    </row>
    <row r="4" spans="1:16" ht="15.75" x14ac:dyDescent="0.25">
      <c r="A4" s="1" t="str" cm="1">
        <f t="array" ref="A4:B27">'Executive Summary'!$A$13:$B$36</f>
        <v>Wireless Earbuds</v>
      </c>
      <c r="B4" s="1" t="str">
        <v>Electronics</v>
      </c>
      <c r="C4" s="17" cm="1">
        <f t="array" ref="C4:C27">'Executive Summary'!$D$13:$D$36</f>
        <v>76.53</v>
      </c>
      <c r="D4" s="50" t="str" cm="1">
        <f t="array" ref="D4:D27">'Executive Summary'!C13:C36</f>
        <v>Raise</v>
      </c>
      <c r="E4" s="52">
        <f>_xlfn.XLOOKUP($A4,Model_Output[Product Name], Model_Output[V1 Suggested Price])</f>
        <v>80.606322838637126</v>
      </c>
      <c r="F4" s="53">
        <f>_xlfn.XLOOKUP($A4,Model_Output[Product Name], Model_Output[V1 Difference %])</f>
        <v>5.3264377873214752E-2</v>
      </c>
      <c r="G4" s="52">
        <f>_xlfn.XLOOKUP($A4,Model_Output[Product Name],Model_Output[V1 Gross Revenue Impact])</f>
        <v>17.225425288654151</v>
      </c>
      <c r="H4" s="52">
        <f>_xlfn.XLOOKUP($A4,Model_Output[Product Name],Model_Output[V1 Gross Profit Impact $])</f>
        <v>70.185425288654415</v>
      </c>
      <c r="I4" s="54">
        <f>_xlfn.XLOOKUP($A4,Model_Output[Product Name], Model_Output[Adjusted Price])</f>
        <v>78.975793703182276</v>
      </c>
      <c r="J4" s="55">
        <f>_xlfn.XLOOKUP($A4,Model_Output[Product Name], Model_Output[Adjusted Difference %])</f>
        <v>3.1958626723928851E-2</v>
      </c>
      <c r="K4" s="54">
        <f>_xlfn.XLOOKUP($A4,Model_Output[Product Name], Model_Output[Adjusted Gross Revenue Impact])</f>
        <v>34.469052928988958</v>
      </c>
      <c r="L4" s="54">
        <f>_xlfn.XLOOKUP($A4,Model_Output[Product Name], Model_Output[Projected Gross Profit Impact $])</f>
        <v>50.717330093461896</v>
      </c>
      <c r="M4" s="56">
        <f>_xlfn.XLOOKUP($A4,Model_Output[Product Name], Model_Output[Total LTV at Risk])</f>
        <v>1112.0931944026663</v>
      </c>
      <c r="N4" s="56" cm="1">
        <f t="array" ref="N4:O4">_xlfn.XLOOKUP($A4,Model_Output[Product Name], Model_Output[[LTV Protected]:[LTV Sacrificed]])</f>
        <v>358.09400859765856</v>
      </c>
      <c r="O4" s="37">
        <v>537.14101289648772</v>
      </c>
      <c r="P4" s="37">
        <f>$M4-($N4+$O4)</f>
        <v>216.85817290852003</v>
      </c>
    </row>
    <row r="5" spans="1:16" ht="15.75" x14ac:dyDescent="0.25">
      <c r="A5" s="1" t="str">
        <v>Bluetooth Speaker</v>
      </c>
      <c r="B5" s="1" t="str">
        <v>Electronics</v>
      </c>
      <c r="C5" s="17">
        <v>53.26</v>
      </c>
      <c r="D5" s="50" t="str">
        <v>Raise</v>
      </c>
      <c r="E5" s="52">
        <f>_xlfn.XLOOKUP($A5,Model_Output[Product Name], Model_Output[V1 Suggested Price])</f>
        <v>57.563991794204242</v>
      </c>
      <c r="F5" s="53">
        <f>_xlfn.XLOOKUP($A5,Model_Output[Product Name], Model_Output[V1 Difference %])</f>
        <v>8.081096121299744E-2</v>
      </c>
      <c r="G5" s="52">
        <f>_xlfn.XLOOKUP($A5,Model_Output[Product Name],Model_Output[V1 Gross Revenue Impact])</f>
        <v>32.819835884084796</v>
      </c>
      <c r="H5" s="52">
        <f>_xlfn.XLOOKUP($A5,Model_Output[Product Name],Model_Output[V1 Gross Profit Impact $])</f>
        <v>69.459835884084782</v>
      </c>
      <c r="I5" s="54">
        <f>_xlfn.XLOOKUP($A5,Model_Output[Product Name], Model_Output[Adjusted Price])</f>
        <v>55.842395076522543</v>
      </c>
      <c r="J5" s="55">
        <f>_xlfn.XLOOKUP($A5,Model_Output[Product Name], Model_Output[Adjusted Difference %])</f>
        <v>4.8486576727798436E-2</v>
      </c>
      <c r="K5" s="54">
        <f>_xlfn.XLOOKUP($A5,Model_Output[Product Name], Model_Output[Adjusted Gross Revenue Impact])</f>
        <v>31.48640138922201</v>
      </c>
      <c r="L5" s="54">
        <f>_xlfn.XLOOKUP($A5,Model_Output[Product Name], Model_Output[Projected Gross Profit Impact $])</f>
        <v>46.409406028196827</v>
      </c>
      <c r="M5" s="56">
        <f>_xlfn.XLOOKUP($A5,Model_Output[Product Name], Model_Output[Total LTV at Risk])</f>
        <v>1487.0300026323653</v>
      </c>
      <c r="N5" s="56" cm="1">
        <f t="array" ref="N5:O5">_xlfn.XLOOKUP($A5,Model_Output[Product Name], Model_Output[[LTV Protected]:[LTV Sacrificed]])</f>
        <v>449.41351190667075</v>
      </c>
      <c r="O5" s="37">
        <v>674.12026786000524</v>
      </c>
      <c r="P5" s="37">
        <f t="shared" ref="P5:P27" si="0">$M5-($N5+$O5)</f>
        <v>363.49622286568933</v>
      </c>
    </row>
    <row r="6" spans="1:16" ht="15.75" x14ac:dyDescent="0.25">
      <c r="A6" s="1" t="str">
        <v>USB-C Hub</v>
      </c>
      <c r="B6" s="1" t="str">
        <v>Electronics</v>
      </c>
      <c r="C6" s="17">
        <v>18.39</v>
      </c>
      <c r="D6" s="50" t="str">
        <v>Hold</v>
      </c>
      <c r="E6" s="52">
        <f>_xlfn.XLOOKUP($A6,Model_Output[Product Name], Model_Output[V1 Suggested Price])</f>
        <v>20.325621653116809</v>
      </c>
      <c r="F6" s="53">
        <f>_xlfn.XLOOKUP($A6,Model_Output[Product Name], Model_Output[V1 Difference %])</f>
        <v>0.10525403225213746</v>
      </c>
      <c r="G6" s="52">
        <f>_xlfn.XLOOKUP($A6,Model_Output[Product Name],Model_Output[V1 Gross Revenue Impact])</f>
        <v>12.579946449868942</v>
      </c>
      <c r="H6" s="52">
        <f>_xlfn.XLOOKUP($A6,Model_Output[Product Name],Model_Output[V1 Gross Profit Impact $])</f>
        <v>20.839946449868961</v>
      </c>
      <c r="I6" s="54">
        <f>_xlfn.XLOOKUP($A6,Model_Output[Product Name], Model_Output[Adjusted Price])</f>
        <v>19.551372991870085</v>
      </c>
      <c r="J6" s="55">
        <f>_xlfn.XLOOKUP($A6,Model_Output[Product Name], Model_Output[Adjusted Difference %])</f>
        <v>6.3152419351282477E-2</v>
      </c>
      <c r="K6" s="54">
        <f>_xlfn.XLOOKUP($A6,Model_Output[Product Name], Model_Output[Adjusted Gross Revenue Impact])</f>
        <v>11.347268620475234</v>
      </c>
      <c r="L6" s="54">
        <f>_xlfn.XLOOKUP($A6,Model_Output[Product Name], Model_Output[Projected Gross Profit Impact $])</f>
        <v>14.894413710598059</v>
      </c>
      <c r="M6" s="56">
        <f>_xlfn.XLOOKUP($A6,Model_Output[Product Name], Model_Output[Total LTV at Risk])</f>
        <v>1216.0706729565338</v>
      </c>
      <c r="N6" s="56" cm="1">
        <f t="array" ref="N6:O6">_xlfn.XLOOKUP($A6,Model_Output[Product Name], Model_Output[[LTV Protected]:[LTV Sacrificed]])</f>
        <v>375.63071897990716</v>
      </c>
      <c r="O6" s="37">
        <v>563.44607846986059</v>
      </c>
      <c r="P6" s="37">
        <f t="shared" si="0"/>
        <v>276.99387550676602</v>
      </c>
    </row>
    <row r="7" spans="1:16" ht="15.75" x14ac:dyDescent="0.25">
      <c r="A7" s="1" t="str">
        <v>Mechanical Keyboard</v>
      </c>
      <c r="B7" s="1" t="str">
        <v>Electronics</v>
      </c>
      <c r="C7" s="17">
        <v>113.18</v>
      </c>
      <c r="D7" s="50" t="str">
        <v>Hold</v>
      </c>
      <c r="E7" s="52">
        <f>_xlfn.XLOOKUP($A7,Model_Output[Product Name], Model_Output[V1 Suggested Price])</f>
        <v>122.07351223831479</v>
      </c>
      <c r="F7" s="53">
        <f>_xlfn.XLOOKUP($A7,Model_Output[Product Name], Model_Output[V1 Difference %])</f>
        <v>7.8578478868305213E-2</v>
      </c>
      <c r="G7" s="52">
        <f>_xlfn.XLOOKUP($A7,Model_Output[Product Name],Model_Output[V1 Gross Revenue Impact])</f>
        <v>91.370781481239646</v>
      </c>
      <c r="H7" s="52">
        <f>_xlfn.XLOOKUP($A7,Model_Output[Product Name],Model_Output[V1 Gross Profit Impact $])</f>
        <v>130.38078148123941</v>
      </c>
      <c r="I7" s="54">
        <f>_xlfn.XLOOKUP($A7,Model_Output[Product Name], Model_Output[Adjusted Price])</f>
        <v>118.51610734298887</v>
      </c>
      <c r="J7" s="55">
        <f>_xlfn.XLOOKUP($A7,Model_Output[Product Name], Model_Output[Adjusted Difference %])</f>
        <v>4.7147087320983098E-2</v>
      </c>
      <c r="K7" s="54">
        <f>_xlfn.XLOOKUP($A7,Model_Output[Product Name], Model_Output[Adjusted Gross Revenue Impact])</f>
        <v>74.424759318041197</v>
      </c>
      <c r="L7" s="54">
        <f>_xlfn.XLOOKUP($A7,Model_Output[Product Name], Model_Output[Projected Gross Profit Impact $])</f>
        <v>92.081154931400079</v>
      </c>
      <c r="M7" s="56">
        <f>_xlfn.XLOOKUP($A7,Model_Output[Product Name], Model_Output[Total LTV at Risk])</f>
        <v>1378.1368137193899</v>
      </c>
      <c r="N7" s="56" cm="1">
        <f t="array" ref="N7:O7">_xlfn.XLOOKUP($A7,Model_Output[Product Name], Model_Output[[LTV Protected]:[LTV Sacrificed]])</f>
        <v>396.9034023511847</v>
      </c>
      <c r="O7" s="37">
        <v>595.35510352677613</v>
      </c>
      <c r="P7" s="37">
        <f t="shared" si="0"/>
        <v>385.87830784142909</v>
      </c>
    </row>
    <row r="8" spans="1:16" ht="15.75" x14ac:dyDescent="0.25">
      <c r="A8" s="1" t="str">
        <v>Phone Stand</v>
      </c>
      <c r="B8" s="1" t="str">
        <v>Electronics</v>
      </c>
      <c r="C8" s="17">
        <v>177.91</v>
      </c>
      <c r="D8" s="50" t="str">
        <v>Raise</v>
      </c>
      <c r="E8" s="52">
        <f>_xlfn.XLOOKUP($A8,Model_Output[Product Name], Model_Output[V1 Suggested Price])</f>
        <v>210.36242056011631</v>
      </c>
      <c r="F8" s="53">
        <f>_xlfn.XLOOKUP($A8,Model_Output[Product Name], Model_Output[V1 Difference %])</f>
        <v>0.18240919880904002</v>
      </c>
      <c r="G8" s="52">
        <f>_xlfn.XLOOKUP($A8,Model_Output[Product Name],Model_Output[V1 Gross Revenue Impact])</f>
        <v>2118.3198784838378</v>
      </c>
      <c r="H8" s="52">
        <f>_xlfn.XLOOKUP($A8,Model_Output[Product Name],Model_Output[V1 Gross Profit Impact $])</f>
        <v>2338.7898784838376</v>
      </c>
      <c r="I8" s="54">
        <f>_xlfn.XLOOKUP($A8,Model_Output[Product Name], Model_Output[Adjusted Price])</f>
        <v>197.38145233606977</v>
      </c>
      <c r="J8" s="55">
        <f>_xlfn.XLOOKUP($A8,Model_Output[Product Name], Model_Output[Adjusted Difference %])</f>
        <v>0.10944551928542395</v>
      </c>
      <c r="K8" s="54">
        <f>_xlfn.XLOOKUP($A8,Model_Output[Product Name], Model_Output[Adjusted Gross Revenue Impact])</f>
        <v>389.89606020396604</v>
      </c>
      <c r="L8" s="54">
        <f>_xlfn.XLOOKUP($A8,Model_Output[Product Name], Model_Output[Projected Gross Profit Impact $])</f>
        <v>505.7174376608823</v>
      </c>
      <c r="M8" s="56">
        <f>_xlfn.XLOOKUP($A8,Model_Output[Product Name], Model_Output[Total LTV at Risk])</f>
        <v>1987.17375700722</v>
      </c>
      <c r="N8" s="56" cm="1">
        <f t="array" ref="N8:O8">_xlfn.XLOOKUP($A8,Model_Output[Product Name], Model_Output[[LTV Protected]:[LTV Sacrificed]])</f>
        <v>688.88690242917028</v>
      </c>
      <c r="O8" s="37">
        <v>1033.3303536437538</v>
      </c>
      <c r="P8" s="37">
        <f t="shared" si="0"/>
        <v>264.95650093429595</v>
      </c>
    </row>
    <row r="9" spans="1:16" ht="15.75" x14ac:dyDescent="0.25">
      <c r="A9" s="1" t="str">
        <v>Slim Fit Jeans</v>
      </c>
      <c r="B9" s="1" t="str">
        <v>Apparel</v>
      </c>
      <c r="C9" s="17">
        <v>45.86</v>
      </c>
      <c r="D9" s="50" t="str">
        <v>Raise</v>
      </c>
      <c r="E9" s="52">
        <f>_xlfn.XLOOKUP($A9,Model_Output[Product Name], Model_Output[V1 Suggested Price])</f>
        <v>57.591701553971269</v>
      </c>
      <c r="F9" s="53">
        <f>_xlfn.XLOOKUP($A9,Model_Output[Product Name], Model_Output[V1 Difference %])</f>
        <v>0.25581555939754186</v>
      </c>
      <c r="G9" s="52">
        <f>_xlfn.XLOOKUP($A9,Model_Output[Product Name],Model_Output[V1 Gross Revenue Impact])</f>
        <v>713.86465905090859</v>
      </c>
      <c r="H9" s="52">
        <f>_xlfn.XLOOKUP($A9,Model_Output[Product Name],Model_Output[V1 Gross Profit Impact $])</f>
        <v>813.3446590509086</v>
      </c>
      <c r="I9" s="54">
        <f>_xlfn.XLOOKUP($A9,Model_Output[Product Name], Model_Output[Adjusted Price])</f>
        <v>52.899020932382761</v>
      </c>
      <c r="J9" s="55">
        <f>_xlfn.XLOOKUP($A9,Model_Output[Product Name], Model_Output[Adjusted Difference %])</f>
        <v>0.15348933563852513</v>
      </c>
      <c r="K9" s="54">
        <f>_xlfn.XLOOKUP($A9,Model_Output[Product Name], Model_Output[Adjusted Gross Revenue Impact])</f>
        <v>159.23236143556642</v>
      </c>
      <c r="L9" s="54">
        <f>_xlfn.XLOOKUP($A9,Model_Output[Product Name], Model_Output[Projected Gross Profit Impact $])</f>
        <v>223.36266169471219</v>
      </c>
      <c r="M9" s="56">
        <f>_xlfn.XLOOKUP($A9,Model_Output[Product Name], Model_Output[Total LTV at Risk])</f>
        <v>1838.4436548864205</v>
      </c>
      <c r="N9" s="56" cm="1">
        <f t="array" ref="N9:O9">_xlfn.XLOOKUP($A9,Model_Output[Product Name], Model_Output[[LTV Protected]:[LTV Sacrificed]])</f>
        <v>666.16546553531475</v>
      </c>
      <c r="O9" s="37">
        <v>999.24819830297201</v>
      </c>
      <c r="P9" s="37">
        <f t="shared" si="0"/>
        <v>173.02999104813375</v>
      </c>
    </row>
    <row r="10" spans="1:16" ht="15.75" x14ac:dyDescent="0.25">
      <c r="A10" s="1" t="str">
        <v>Graphic Tee</v>
      </c>
      <c r="B10" s="1" t="str">
        <v>Apparel</v>
      </c>
      <c r="C10" s="17">
        <v>67.56</v>
      </c>
      <c r="D10" s="50" t="str">
        <v>Raise</v>
      </c>
      <c r="E10" s="52">
        <f>_xlfn.XLOOKUP($A10,Model_Output[Product Name], Model_Output[V1 Suggested Price])</f>
        <v>74.848492484947073</v>
      </c>
      <c r="F10" s="53">
        <f>_xlfn.XLOOKUP($A10,Model_Output[Product Name], Model_Output[V1 Difference %])</f>
        <v>0.10788177153562864</v>
      </c>
      <c r="G10" s="52">
        <f>_xlfn.XLOOKUP($A10,Model_Output[Product Name],Model_Output[V1 Gross Revenue Impact])</f>
        <v>85.498342183888553</v>
      </c>
      <c r="H10" s="52">
        <f>_xlfn.XLOOKUP($A10,Model_Output[Product Name],Model_Output[V1 Gross Profit Impact $])</f>
        <v>128.7083421838887</v>
      </c>
      <c r="I10" s="54">
        <f>_xlfn.XLOOKUP($A10,Model_Output[Product Name], Model_Output[Adjusted Price])</f>
        <v>71.933095490968242</v>
      </c>
      <c r="J10" s="55">
        <f>_xlfn.XLOOKUP($A10,Model_Output[Product Name], Model_Output[Adjusted Difference %])</f>
        <v>6.4729062921377131E-2</v>
      </c>
      <c r="K10" s="54">
        <f>_xlfn.XLOOKUP($A10,Model_Output[Product Name], Model_Output[Adjusted Gross Revenue Impact])</f>
        <v>55.233876396655432</v>
      </c>
      <c r="L10" s="54">
        <f>_xlfn.XLOOKUP($A10,Model_Output[Product Name], Model_Output[Projected Gross Profit Impact $])</f>
        <v>79.846973114383104</v>
      </c>
      <c r="M10" s="56">
        <f>_xlfn.XLOOKUP($A10,Model_Output[Product Name], Model_Output[Total LTV at Risk])</f>
        <v>1511.5432138179046</v>
      </c>
      <c r="N10" s="56" cm="1">
        <f t="array" ref="N10:O10">_xlfn.XLOOKUP($A10,Model_Output[Product Name], Model_Output[[LTV Protected]:[LTV Sacrificed]])</f>
        <v>429.27827272428533</v>
      </c>
      <c r="O10" s="37">
        <v>643.91740908642703</v>
      </c>
      <c r="P10" s="37">
        <f t="shared" si="0"/>
        <v>438.34753200719229</v>
      </c>
    </row>
    <row r="11" spans="1:16" ht="15.75" x14ac:dyDescent="0.25">
      <c r="A11" s="1" t="str">
        <v>Wool Sweater</v>
      </c>
      <c r="B11" s="1" t="str">
        <v>Apparel</v>
      </c>
      <c r="C11" s="17">
        <v>143.80000000000001</v>
      </c>
      <c r="D11" s="50" t="str">
        <v>Raise</v>
      </c>
      <c r="E11" s="52">
        <f>_xlfn.XLOOKUP($A11,Model_Output[Product Name], Model_Output[V1 Suggested Price])</f>
        <v>176.09452849869206</v>
      </c>
      <c r="F11" s="53">
        <f>_xlfn.XLOOKUP($A11,Model_Output[Product Name], Model_Output[V1 Difference %])</f>
        <v>0.22457947495613381</v>
      </c>
      <c r="G11" s="52">
        <f>_xlfn.XLOOKUP($A11,Model_Output[Product Name],Model_Output[V1 Gross Revenue Impact])</f>
        <v>408.25774096599343</v>
      </c>
      <c r="H11" s="52">
        <f>_xlfn.XLOOKUP($A11,Model_Output[Product Name],Model_Output[V1 Gross Profit Impact $])</f>
        <v>594.70774096599325</v>
      </c>
      <c r="I11" s="54">
        <f>_xlfn.XLOOKUP($A11,Model_Output[Product Name], Model_Output[Adjusted Price])</f>
        <v>163.17671709921524</v>
      </c>
      <c r="J11" s="55">
        <f>_xlfn.XLOOKUP($A11,Model_Output[Product Name], Model_Output[Adjusted Difference %])</f>
        <v>0.13474768497368028</v>
      </c>
      <c r="K11" s="54">
        <f>_xlfn.XLOOKUP($A11,Model_Output[Product Name], Model_Output[Adjusted Gross Revenue Impact])</f>
        <v>306.86765137683778</v>
      </c>
      <c r="L11" s="54">
        <f>_xlfn.XLOOKUP($A11,Model_Output[Product Name], Model_Output[Projected Gross Profit Impact $])</f>
        <v>404.01264738176269</v>
      </c>
      <c r="M11" s="56">
        <f>_xlfn.XLOOKUP($A11,Model_Output[Product Name], Model_Output[Total LTV at Risk])</f>
        <v>1207.1798191480714</v>
      </c>
      <c r="N11" s="56" cm="1">
        <f t="array" ref="N11:O11">_xlfn.XLOOKUP($A11,Model_Output[Product Name], Model_Output[[LTV Protected]:[LTV Sacrificed]])</f>
        <v>422.51293670182497</v>
      </c>
      <c r="O11" s="37">
        <v>633.7694050527374</v>
      </c>
      <c r="P11" s="37">
        <f t="shared" si="0"/>
        <v>150.89747739350901</v>
      </c>
    </row>
    <row r="12" spans="1:16" ht="15.75" x14ac:dyDescent="0.25">
      <c r="A12" s="1" t="str">
        <v>Canvas Tote Bag</v>
      </c>
      <c r="B12" s="1" t="str">
        <v>Apparel</v>
      </c>
      <c r="C12" s="17">
        <v>160.35</v>
      </c>
      <c r="D12" s="50" t="str">
        <v>Raise</v>
      </c>
      <c r="E12" s="52">
        <f>_xlfn.XLOOKUP($A12,Model_Output[Product Name], Model_Output[V1 Suggested Price])</f>
        <v>182.28730909948831</v>
      </c>
      <c r="F12" s="53">
        <f>_xlfn.XLOOKUP($A12,Model_Output[Product Name], Model_Output[V1 Difference %])</f>
        <v>0.13680891237597953</v>
      </c>
      <c r="G12" s="52">
        <f>_xlfn.XLOOKUP($A12,Model_Output[Product Name],Model_Output[V1 Gross Revenue Impact])</f>
        <v>425.16850938260268</v>
      </c>
      <c r="H12" s="52">
        <f>_xlfn.XLOOKUP($A12,Model_Output[Product Name],Model_Output[V1 Gross Profit Impact $])</f>
        <v>570.10850938260273</v>
      </c>
      <c r="I12" s="54">
        <f>_xlfn.XLOOKUP($A12,Model_Output[Product Name], Model_Output[Adjusted Price])</f>
        <v>173.51238545969298</v>
      </c>
      <c r="J12" s="55">
        <f>_xlfn.XLOOKUP($A12,Model_Output[Product Name], Model_Output[Adjusted Difference %])</f>
        <v>8.2085347425587679E-2</v>
      </c>
      <c r="K12" s="54">
        <f>_xlfn.XLOOKUP($A12,Model_Output[Product Name], Model_Output[Adjusted Gross Revenue Impact])</f>
        <v>268.7492045682875</v>
      </c>
      <c r="L12" s="54">
        <f>_xlfn.XLOOKUP($A12,Model_Output[Product Name], Model_Output[Projected Gross Profit Impact $])</f>
        <v>354.41084641051339</v>
      </c>
      <c r="M12" s="56">
        <f>_xlfn.XLOOKUP($A12,Model_Output[Product Name], Model_Output[Total LTV at Risk])</f>
        <v>1437.4209803104648</v>
      </c>
      <c r="N12" s="56" cm="1">
        <f t="array" ref="N12:O12">_xlfn.XLOOKUP($A12,Model_Output[Product Name], Model_Output[[LTV Protected]:[LTV Sacrificed]])</f>
        <v>457.57901206549826</v>
      </c>
      <c r="O12" s="37">
        <v>686.36851809824657</v>
      </c>
      <c r="P12" s="37">
        <f t="shared" si="0"/>
        <v>293.47345014671987</v>
      </c>
    </row>
    <row r="13" spans="1:16" ht="15.75" x14ac:dyDescent="0.25">
      <c r="A13" s="1" t="str">
        <v>Air Fryer</v>
      </c>
      <c r="B13" s="1" t="str">
        <v>Home &amp; Kitchen</v>
      </c>
      <c r="C13" s="17">
        <v>98.51</v>
      </c>
      <c r="D13" s="50" t="str">
        <v>Raise</v>
      </c>
      <c r="E13" s="52">
        <f>_xlfn.XLOOKUP($A13,Model_Output[Product Name], Model_Output[V1 Suggested Price])</f>
        <v>115.63152012124601</v>
      </c>
      <c r="F13" s="53">
        <f>_xlfn.XLOOKUP($A13,Model_Output[Product Name], Model_Output[V1 Difference %])</f>
        <v>0.17380489413507264</v>
      </c>
      <c r="G13" s="52">
        <f>_xlfn.XLOOKUP($A13,Model_Output[Product Name],Model_Output[V1 Gross Revenue Impact])</f>
        <v>350.86864387987225</v>
      </c>
      <c r="H13" s="52">
        <f>_xlfn.XLOOKUP($A13,Model_Output[Product Name],Model_Output[V1 Gross Profit Impact $])</f>
        <v>461.20864387987217</v>
      </c>
      <c r="I13" s="54">
        <f>_xlfn.XLOOKUP($A13,Model_Output[Product Name], Model_Output[Adjusted Price])</f>
        <v>108.78291207274761</v>
      </c>
      <c r="J13" s="55">
        <f>_xlfn.XLOOKUP($A13,Model_Output[Product Name], Model_Output[Adjusted Difference %])</f>
        <v>0.10428293648104356</v>
      </c>
      <c r="K13" s="54">
        <f>_xlfn.XLOOKUP($A13,Model_Output[Product Name], Model_Output[Adjusted Gross Revenue Impact])</f>
        <v>194.99786993870657</v>
      </c>
      <c r="L13" s="54">
        <f>_xlfn.XLOOKUP($A13,Model_Output[Product Name], Model_Output[Projected Gross Profit Impact $])</f>
        <v>273.24260857567128</v>
      </c>
      <c r="M13" s="56">
        <f>_xlfn.XLOOKUP($A13,Model_Output[Product Name], Model_Output[Total LTV at Risk])</f>
        <v>1821.0803839968587</v>
      </c>
      <c r="N13" s="56" cm="1">
        <f t="array" ref="N13:O13">_xlfn.XLOOKUP($A13,Model_Output[Product Name], Model_Output[[LTV Protected]:[LTV Sacrificed]])</f>
        <v>591.15070926667283</v>
      </c>
      <c r="O13" s="37">
        <v>886.72606390000863</v>
      </c>
      <c r="P13" s="37">
        <f t="shared" si="0"/>
        <v>343.20361083017724</v>
      </c>
    </row>
    <row r="14" spans="1:16" ht="15.75" x14ac:dyDescent="0.25">
      <c r="A14" s="1" t="str">
        <v>Dish Rack</v>
      </c>
      <c r="B14" s="1" t="str">
        <v>Home &amp; Kitchen</v>
      </c>
      <c r="C14" s="17">
        <v>106.06</v>
      </c>
      <c r="D14" s="50" t="str">
        <v>Raise</v>
      </c>
      <c r="E14" s="52">
        <f>_xlfn.XLOOKUP($A14,Model_Output[Product Name], Model_Output[V1 Suggested Price])</f>
        <v>125.95982059079952</v>
      </c>
      <c r="F14" s="53">
        <f>_xlfn.XLOOKUP($A14,Model_Output[Product Name], Model_Output[V1 Difference %])</f>
        <v>0.18762795201583557</v>
      </c>
      <c r="G14" s="52">
        <f>_xlfn.XLOOKUP($A14,Model_Output[Product Name],Model_Output[V1 Gross Revenue Impact])</f>
        <v>398.21354126878305</v>
      </c>
      <c r="H14" s="52">
        <f>_xlfn.XLOOKUP($A14,Model_Output[Product Name],Model_Output[V1 Gross Profit Impact $])</f>
        <v>498.47354126878326</v>
      </c>
      <c r="I14" s="54">
        <f>_xlfn.XLOOKUP($A14,Model_Output[Product Name], Model_Output[Adjusted Price])</f>
        <v>117.99989235447971</v>
      </c>
      <c r="J14" s="55">
        <f>_xlfn.XLOOKUP($A14,Model_Output[Product Name], Model_Output[Adjusted Difference %])</f>
        <v>0.11257677120950131</v>
      </c>
      <c r="K14" s="54">
        <f>_xlfn.XLOOKUP($A14,Model_Output[Product Name], Model_Output[Adjusted Gross Revenue Impact])</f>
        <v>258.42467042906628</v>
      </c>
      <c r="L14" s="54">
        <f>_xlfn.XLOOKUP($A14,Model_Output[Product Name], Model_Output[Projected Gross Profit Impact $])</f>
        <v>317.1167952526821</v>
      </c>
      <c r="M14" s="56">
        <f>_xlfn.XLOOKUP($A14,Model_Output[Product Name], Model_Output[Total LTV at Risk])</f>
        <v>1061.3751512398956</v>
      </c>
      <c r="N14" s="56" cm="1">
        <f t="array" ref="N14:O14">_xlfn.XLOOKUP($A14,Model_Output[Product Name], Model_Output[[LTV Protected]:[LTV Sacrificed]])</f>
        <v>385.63297161716218</v>
      </c>
      <c r="O14" s="37">
        <v>578.44945742574293</v>
      </c>
      <c r="P14" s="37">
        <f t="shared" si="0"/>
        <v>97.292722196990439</v>
      </c>
    </row>
    <row r="15" spans="1:16" ht="15.75" x14ac:dyDescent="0.25">
      <c r="A15" s="1" t="str">
        <v>Storage Bins</v>
      </c>
      <c r="B15" s="1" t="str">
        <v>Home &amp; Kitchen</v>
      </c>
      <c r="C15" s="17">
        <v>34.479999999999997</v>
      </c>
      <c r="D15" s="50" t="str">
        <v>Raise</v>
      </c>
      <c r="E15" s="52">
        <f>_xlfn.XLOOKUP($A15,Model_Output[Product Name], Model_Output[V1 Suggested Price])</f>
        <v>36.908161919642779</v>
      </c>
      <c r="F15" s="53">
        <f>_xlfn.XLOOKUP($A15,Model_Output[Product Name], Model_Output[V1 Difference %])</f>
        <v>7.0422329455997176E-2</v>
      </c>
      <c r="G15" s="52">
        <f>_xlfn.XLOOKUP($A15,Model_Output[Product Name],Model_Output[V1 Gross Revenue Impact])</f>
        <v>9.2269145535701682</v>
      </c>
      <c r="H15" s="52">
        <f>_xlfn.XLOOKUP($A15,Model_Output[Product Name],Model_Output[V1 Gross Profit Impact $])</f>
        <v>28.46691455357012</v>
      </c>
      <c r="I15" s="54">
        <f>_xlfn.XLOOKUP($A15,Model_Output[Product Name], Model_Output[Adjusted Price])</f>
        <v>35.936897151785665</v>
      </c>
      <c r="J15" s="55">
        <f>_xlfn.XLOOKUP($A15,Model_Output[Product Name], Model_Output[Adjusted Difference %])</f>
        <v>4.2253397673598266E-2</v>
      </c>
      <c r="K15" s="54">
        <f>_xlfn.XLOOKUP($A15,Model_Output[Product Name], Model_Output[Adjusted Gross Revenue Impact])</f>
        <v>16.140780234454724</v>
      </c>
      <c r="L15" s="54">
        <f>_xlfn.XLOOKUP($A15,Model_Output[Product Name], Model_Output[Projected Gross Profit Impact $])</f>
        <v>22.31924105587899</v>
      </c>
      <c r="M15" s="56">
        <f>_xlfn.XLOOKUP($A15,Model_Output[Product Name], Model_Output[Total LTV at Risk])</f>
        <v>804.52718410151249</v>
      </c>
      <c r="N15" s="56" cm="1">
        <f t="array" ref="N15:O15">_xlfn.XLOOKUP($A15,Model_Output[Product Name], Model_Output[[LTV Protected]:[LTV Sacrificed]])</f>
        <v>255.15004981505146</v>
      </c>
      <c r="O15" s="37">
        <v>382.72507472257621</v>
      </c>
      <c r="P15" s="37">
        <f t="shared" si="0"/>
        <v>166.65205956388479</v>
      </c>
    </row>
    <row r="16" spans="1:16" ht="15.75" x14ac:dyDescent="0.25">
      <c r="A16" s="1" t="str">
        <v>Scented Candle</v>
      </c>
      <c r="B16" s="1" t="str">
        <v>Home &amp; Kitchen</v>
      </c>
      <c r="C16" s="17">
        <v>148.11000000000001</v>
      </c>
      <c r="D16" s="50" t="str">
        <v>Raise</v>
      </c>
      <c r="E16" s="52">
        <f>_xlfn.XLOOKUP($A16,Model_Output[Product Name], Model_Output[V1 Suggested Price])</f>
        <v>164.85971574016031</v>
      </c>
      <c r="F16" s="53">
        <f>_xlfn.XLOOKUP($A16,Model_Output[Product Name], Model_Output[V1 Difference %])</f>
        <v>0.1130897018443069</v>
      </c>
      <c r="G16" s="52">
        <f>_xlfn.XLOOKUP($A16,Model_Output[Product Name],Model_Output[V1 Gross Revenue Impact])</f>
        <v>917.56260924416802</v>
      </c>
      <c r="H16" s="52">
        <f>_xlfn.XLOOKUP($A16,Model_Output[Product Name],Model_Output[V1 Gross Profit Impact $])</f>
        <v>987.20260924416789</v>
      </c>
      <c r="I16" s="54">
        <f>_xlfn.XLOOKUP($A16,Model_Output[Product Name], Model_Output[Adjusted Price])</f>
        <v>157.82483512929298</v>
      </c>
      <c r="J16" s="55">
        <f>_xlfn.XLOOKUP($A16,Model_Output[Product Name], Model_Output[Adjusted Difference %])</f>
        <v>6.5592027069697953E-2</v>
      </c>
      <c r="K16" s="54">
        <f>_xlfn.XLOOKUP($A16,Model_Output[Product Name], Model_Output[Adjusted Gross Revenue Impact])</f>
        <v>150.49839922374122</v>
      </c>
      <c r="L16" s="54">
        <f>_xlfn.XLOOKUP($A16,Model_Output[Product Name], Model_Output[Projected Gross Profit Impact $])</f>
        <v>199.83094988718585</v>
      </c>
      <c r="M16" s="56">
        <f>_xlfn.XLOOKUP($A16,Model_Output[Product Name], Model_Output[Total LTV at Risk])</f>
        <v>1774.9243566264481</v>
      </c>
      <c r="N16" s="56" cm="1">
        <f t="array" ref="N16:O16">_xlfn.XLOOKUP($A16,Model_Output[Product Name], Model_Output[[LTV Protected]:[LTV Sacrificed]])</f>
        <v>543.57058421685042</v>
      </c>
      <c r="O16" s="37">
        <v>750.64509248993477</v>
      </c>
      <c r="P16" s="37">
        <f t="shared" si="0"/>
        <v>480.70867991966293</v>
      </c>
    </row>
    <row r="17" spans="1:16" ht="15.75" x14ac:dyDescent="0.25">
      <c r="A17" s="1" t="str">
        <v>Vitamin C Serum</v>
      </c>
      <c r="B17" s="1" t="str">
        <v>Beauty &amp; Personal Care</v>
      </c>
      <c r="C17" s="17">
        <v>54.64</v>
      </c>
      <c r="D17" s="50" t="str">
        <v>Raise</v>
      </c>
      <c r="E17" s="52">
        <f>_xlfn.XLOOKUP($A17,Model_Output[Product Name], Model_Output[V1 Suggested Price])</f>
        <v>68.209095073095426</v>
      </c>
      <c r="F17" s="53">
        <f>_xlfn.XLOOKUP($A17,Model_Output[Product Name], Model_Output[V1 Difference %])</f>
        <v>0.24833629343146826</v>
      </c>
      <c r="G17" s="52">
        <f>_xlfn.XLOOKUP($A17,Model_Output[Product Name],Model_Output[V1 Gross Revenue Impact])</f>
        <v>405.25475365476996</v>
      </c>
      <c r="H17" s="52">
        <f>_xlfn.XLOOKUP($A17,Model_Output[Product Name],Model_Output[V1 Gross Profit Impact $])</f>
        <v>506.85475365477032</v>
      </c>
      <c r="I17" s="54">
        <f>_xlfn.XLOOKUP($A17,Model_Output[Product Name], Model_Output[Adjusted Price])</f>
        <v>62.781457043857259</v>
      </c>
      <c r="J17" s="55">
        <f>_xlfn.XLOOKUP($A17,Model_Output[Product Name], Model_Output[Adjusted Difference %])</f>
        <v>0.14900177605888101</v>
      </c>
      <c r="K17" s="54">
        <f>_xlfn.XLOOKUP($A17,Model_Output[Product Name], Model_Output[Adjusted Gross Revenue Impact])</f>
        <v>241.98006814396967</v>
      </c>
      <c r="L17" s="54">
        <f>_xlfn.XLOOKUP($A17,Model_Output[Product Name], Model_Output[Projected Gross Profit Impact $])</f>
        <v>308.58982211333159</v>
      </c>
      <c r="M17" s="56">
        <f>_xlfn.XLOOKUP($A17,Model_Output[Product Name], Model_Output[Total LTV at Risk])</f>
        <v>2363.2455169389877</v>
      </c>
      <c r="N17" s="56" cm="1">
        <f t="array" ref="N17:O17">_xlfn.XLOOKUP($A17,Model_Output[Product Name], Model_Output[[LTV Protected]:[LTV Sacrificed]])</f>
        <v>758.48927543660807</v>
      </c>
      <c r="O17" s="37">
        <v>1137.7339131549131</v>
      </c>
      <c r="P17" s="37">
        <f t="shared" si="0"/>
        <v>467.02232834746655</v>
      </c>
    </row>
    <row r="18" spans="1:16" ht="15.75" x14ac:dyDescent="0.25">
      <c r="A18" s="1" t="str">
        <v>SPF Moisturizer</v>
      </c>
      <c r="B18" s="1" t="str">
        <v>Beauty &amp; Personal Care</v>
      </c>
      <c r="C18" s="17">
        <v>230.34</v>
      </c>
      <c r="D18" s="50" t="str">
        <v>Raise</v>
      </c>
      <c r="E18" s="52">
        <f>_xlfn.XLOOKUP($A18,Model_Output[Product Name], Model_Output[V1 Suggested Price])</f>
        <v>292.05233671227234</v>
      </c>
      <c r="F18" s="53">
        <f>_xlfn.XLOOKUP($A18,Model_Output[Product Name], Model_Output[V1 Difference %])</f>
        <v>0.26791845407776477</v>
      </c>
      <c r="G18" s="52">
        <f>_xlfn.XLOOKUP($A18,Model_Output[Product Name],Model_Output[V1 Gross Revenue Impact])</f>
        <v>711.85439753317496</v>
      </c>
      <c r="H18" s="52">
        <f>_xlfn.XLOOKUP($A18,Model_Output[Product Name],Model_Output[V1 Gross Profit Impact $])</f>
        <v>861.21439753317463</v>
      </c>
      <c r="I18" s="54">
        <f>_xlfn.XLOOKUP($A18,Model_Output[Product Name], Model_Output[Adjusted Price])</f>
        <v>267.36740202736343</v>
      </c>
      <c r="J18" s="55">
        <f>_xlfn.XLOOKUP($A18,Model_Output[Product Name], Model_Output[Adjusted Difference %])</f>
        <v>0.16075107244665895</v>
      </c>
      <c r="K18" s="54">
        <f>_xlfn.XLOOKUP($A18,Model_Output[Product Name], Model_Output[Adjusted Gross Revenue Impact])</f>
        <v>416.54683102395575</v>
      </c>
      <c r="L18" s="54">
        <f>_xlfn.XLOOKUP($A18,Model_Output[Product Name], Model_Output[Projected Gross Profit Impact $])</f>
        <v>517.38790778261455</v>
      </c>
      <c r="M18" s="56">
        <f>_xlfn.XLOOKUP($A18,Model_Output[Product Name], Model_Output[Total LTV at Risk])</f>
        <v>1125.247970158546</v>
      </c>
      <c r="N18" s="56" cm="1">
        <f t="array" ref="N18:O18">_xlfn.XLOOKUP($A18,Model_Output[Product Name], Model_Output[[LTV Protected]:[LTV Sacrificed]])</f>
        <v>400.08816716748254</v>
      </c>
      <c r="O18" s="37">
        <v>600.13225075122489</v>
      </c>
      <c r="P18" s="37">
        <f t="shared" si="0"/>
        <v>125.02755223983854</v>
      </c>
    </row>
    <row r="19" spans="1:16" ht="15.75" x14ac:dyDescent="0.25">
      <c r="A19" s="1" t="str">
        <v>Electric Toothbrush</v>
      </c>
      <c r="B19" s="1" t="str">
        <v>Beauty &amp; Personal Care</v>
      </c>
      <c r="C19" s="17">
        <v>224.77</v>
      </c>
      <c r="D19" s="50" t="str">
        <v>Raise</v>
      </c>
      <c r="E19" s="52">
        <f>_xlfn.XLOOKUP($A19,Model_Output[Product Name], Model_Output[V1 Suggested Price])</f>
        <v>258.01494479999997</v>
      </c>
      <c r="F19" s="53">
        <f>_xlfn.XLOOKUP($A19,Model_Output[Product Name], Model_Output[V1 Difference %])</f>
        <v>0.14790650353694867</v>
      </c>
      <c r="G19" s="52">
        <f>_xlfn.XLOOKUP($A19,Model_Output[Product Name],Model_Output[V1 Gross Revenue Impact])</f>
        <v>689.15922719999935</v>
      </c>
      <c r="H19" s="52">
        <f>_xlfn.XLOOKUP($A19,Model_Output[Product Name],Model_Output[V1 Gross Profit Impact $])</f>
        <v>767.94922719999954</v>
      </c>
      <c r="I19" s="54">
        <f>_xlfn.XLOOKUP($A19,Model_Output[Product Name], Model_Output[Adjusted Price])</f>
        <v>244.71696687999997</v>
      </c>
      <c r="J19" s="55">
        <f>_xlfn.XLOOKUP($A19,Model_Output[Product Name], Model_Output[Adjusted Difference %])</f>
        <v>8.8743902122169163E-2</v>
      </c>
      <c r="K19" s="54">
        <f>_xlfn.XLOOKUP($A19,Model_Output[Product Name], Model_Output[Adjusted Gross Revenue Impact])</f>
        <v>168.90167186140206</v>
      </c>
      <c r="L19" s="54">
        <f>_xlfn.XLOOKUP($A19,Model_Output[Product Name], Model_Output[Projected Gross Profit Impact $])</f>
        <v>210.85446415063689</v>
      </c>
      <c r="M19" s="56">
        <f>_xlfn.XLOOKUP($A19,Model_Output[Product Name], Model_Output[Total LTV at Risk])</f>
        <v>411.31040074586326</v>
      </c>
      <c r="N19" s="56" cm="1">
        <f t="array" ref="N19:O19">_xlfn.XLOOKUP($A19,Model_Output[Product Name], Model_Output[[LTV Protected]:[LTV Sacrificed]])</f>
        <v>112.81656706172261</v>
      </c>
      <c r="O19" s="37">
        <v>169.22485059258366</v>
      </c>
      <c r="P19" s="37">
        <f t="shared" si="0"/>
        <v>129.268983091557</v>
      </c>
    </row>
    <row r="20" spans="1:16" ht="15.75" x14ac:dyDescent="0.25">
      <c r="A20" s="1" t="str">
        <v>Face Mask Kit</v>
      </c>
      <c r="B20" s="1" t="str">
        <v>Beauty &amp; Personal Care</v>
      </c>
      <c r="C20" s="17">
        <v>196.28</v>
      </c>
      <c r="D20" s="50" t="str">
        <v>Raise</v>
      </c>
      <c r="E20" s="52">
        <f>_xlfn.XLOOKUP($A20,Model_Output[Product Name], Model_Output[V1 Suggested Price])</f>
        <v>228.89345445731379</v>
      </c>
      <c r="F20" s="53">
        <f>_xlfn.XLOOKUP($A20,Model_Output[Product Name], Model_Output[V1 Difference %])</f>
        <v>0.16615780750618397</v>
      </c>
      <c r="G20" s="52">
        <f>_xlfn.XLOOKUP($A20,Model_Output[Product Name],Model_Output[V1 Gross Revenue Impact])</f>
        <v>552.63090600598207</v>
      </c>
      <c r="H20" s="52">
        <f>_xlfn.XLOOKUP($A20,Model_Output[Product Name],Model_Output[V1 Gross Profit Impact $])</f>
        <v>767.82090600598258</v>
      </c>
      <c r="I20" s="54">
        <f>_xlfn.XLOOKUP($A20,Model_Output[Product Name], Model_Output[Adjusted Price])</f>
        <v>215.84807267438828</v>
      </c>
      <c r="J20" s="55">
        <f>_xlfn.XLOOKUP($A20,Model_Output[Product Name], Model_Output[Adjusted Difference %])</f>
        <v>9.9694684503710398E-2</v>
      </c>
      <c r="K20" s="54">
        <f>_xlfn.XLOOKUP($A20,Model_Output[Product Name], Model_Output[Adjusted Gross Revenue Impact])</f>
        <v>416.49939793544581</v>
      </c>
      <c r="L20" s="54">
        <f>_xlfn.XLOOKUP($A20,Model_Output[Product Name], Model_Output[Projected Gross Profit Impact $])</f>
        <v>525.19611367110429</v>
      </c>
      <c r="M20" s="56">
        <f>_xlfn.XLOOKUP($A20,Model_Output[Product Name], Model_Output[Total LTV at Risk])</f>
        <v>1597.9585464320285</v>
      </c>
      <c r="N20" s="56" cm="1">
        <f t="array" ref="N20:O20">_xlfn.XLOOKUP($A20,Model_Output[Product Name], Model_Output[[LTV Protected]:[LTV Sacrificed]])</f>
        <v>535.3161130547295</v>
      </c>
      <c r="O20" s="37">
        <v>802.97416958209431</v>
      </c>
      <c r="P20" s="37">
        <f t="shared" si="0"/>
        <v>259.66826379520467</v>
      </c>
    </row>
    <row r="21" spans="1:16" ht="15.75" x14ac:dyDescent="0.25">
      <c r="A21" s="1" t="str">
        <v>Body Lotion</v>
      </c>
      <c r="B21" s="1" t="str">
        <v>Beauty &amp; Personal Care</v>
      </c>
      <c r="C21" s="17">
        <v>49.1</v>
      </c>
      <c r="D21" s="50" t="str">
        <v>Raise</v>
      </c>
      <c r="E21" s="52">
        <f>_xlfn.XLOOKUP($A21,Model_Output[Product Name], Model_Output[V1 Suggested Price])</f>
        <v>52.262974962461286</v>
      </c>
      <c r="F21" s="53">
        <f>_xlfn.XLOOKUP($A21,Model_Output[Product Name], Model_Output[V1 Difference %])</f>
        <v>6.4419042005321461E-2</v>
      </c>
      <c r="G21" s="52">
        <f>_xlfn.XLOOKUP($A21,Model_Output[Product Name],Model_Output[V1 Gross Revenue Impact])</f>
        <v>536.51709864860595</v>
      </c>
      <c r="H21" s="52">
        <f>_xlfn.XLOOKUP($A21,Model_Output[Product Name],Model_Output[V1 Gross Profit Impact $])</f>
        <v>566.53709864860593</v>
      </c>
      <c r="I21" s="54">
        <f>_xlfn.XLOOKUP($A21,Model_Output[Product Name], Model_Output[Adjusted Price])</f>
        <v>50.997784977476769</v>
      </c>
      <c r="J21" s="55">
        <f>_xlfn.XLOOKUP($A21,Model_Output[Product Name], Model_Output[Adjusted Difference %])</f>
        <v>3.865142520319282E-2</v>
      </c>
      <c r="K21" s="54">
        <f>_xlfn.XLOOKUP($A21,Model_Output[Product Name], Model_Output[Adjusted Gross Revenue Impact])</f>
        <v>41.045215507175953</v>
      </c>
      <c r="L21" s="54">
        <f>_xlfn.XLOOKUP($A21,Model_Output[Product Name], Model_Output[Projected Gross Profit Impact $])</f>
        <v>58.217889119253641</v>
      </c>
      <c r="M21" s="56">
        <f>_xlfn.XLOOKUP($A21,Model_Output[Product Name], Model_Output[Total LTV at Risk])</f>
        <v>1772.0208758689498</v>
      </c>
      <c r="N21" s="56" cm="1">
        <f t="array" ref="N21:O21">_xlfn.XLOOKUP($A21,Model_Output[Product Name], Model_Output[[LTV Protected]:[LTV Sacrificed]])</f>
        <v>588.85616798106776</v>
      </c>
      <c r="O21" s="37">
        <v>883.28425197159822</v>
      </c>
      <c r="P21" s="37">
        <f t="shared" si="0"/>
        <v>299.88045591628384</v>
      </c>
    </row>
    <row r="22" spans="1:16" ht="15.75" x14ac:dyDescent="0.25">
      <c r="A22" s="1" t="str">
        <v>Perfume Roller</v>
      </c>
      <c r="B22" s="1" t="str">
        <v>Beauty &amp; Personal Care</v>
      </c>
      <c r="C22" s="17">
        <v>31.81</v>
      </c>
      <c r="D22" s="50" t="str">
        <v>Raise</v>
      </c>
      <c r="E22" s="52">
        <f>_xlfn.XLOOKUP($A22,Model_Output[Product Name], Model_Output[V1 Suggested Price])</f>
        <v>35.216736588500552</v>
      </c>
      <c r="F22" s="53">
        <f>_xlfn.XLOOKUP($A22,Model_Output[Product Name], Model_Output[V1 Difference %])</f>
        <v>0.10709640328514787</v>
      </c>
      <c r="G22" s="52">
        <f>_xlfn.XLOOKUP($A22,Model_Output[Product Name],Model_Output[V1 Gross Revenue Impact])</f>
        <v>179.95167812401314</v>
      </c>
      <c r="H22" s="52">
        <f>_xlfn.XLOOKUP($A22,Model_Output[Product Name],Model_Output[V1 Gross Profit Impact $])</f>
        <v>190.59167812401313</v>
      </c>
      <c r="I22" s="54">
        <f>_xlfn.XLOOKUP($A22,Model_Output[Product Name], Model_Output[Adjusted Price])</f>
        <v>33.854041953100328</v>
      </c>
      <c r="J22" s="55">
        <f>_xlfn.XLOOKUP($A22,Model_Output[Product Name], Model_Output[Adjusted Difference %])</f>
        <v>6.4257841971088636E-2</v>
      </c>
      <c r="K22" s="54">
        <f>_xlfn.XLOOKUP($A22,Model_Output[Product Name], Model_Output[Adjusted Gross Revenue Impact])</f>
        <v>29.347172048458901</v>
      </c>
      <c r="L22" s="54">
        <f>_xlfn.XLOOKUP($A22,Model_Output[Product Name], Model_Output[Projected Gross Profit Impact $])</f>
        <v>36.18420643418267</v>
      </c>
      <c r="M22" s="56">
        <f>_xlfn.XLOOKUP($A22,Model_Output[Product Name], Model_Output[Total LTV at Risk])</f>
        <v>1396.9812800741929</v>
      </c>
      <c r="N22" s="56" cm="1">
        <f t="array" ref="N22:O22">_xlfn.XLOOKUP($A22,Model_Output[Product Name], Model_Output[[LTV Protected]:[LTV Sacrificed]])</f>
        <v>441.9540776962001</v>
      </c>
      <c r="O22" s="37">
        <v>662.93111654429799</v>
      </c>
      <c r="P22" s="37">
        <f t="shared" si="0"/>
        <v>292.09608583369481</v>
      </c>
    </row>
    <row r="23" spans="1:16" ht="15.75" x14ac:dyDescent="0.25">
      <c r="A23" s="1" t="str">
        <v>Nail Polish Set</v>
      </c>
      <c r="B23" s="1" t="str">
        <v>Beauty &amp; Personal Care</v>
      </c>
      <c r="C23" s="17">
        <v>189.99</v>
      </c>
      <c r="D23" s="50" t="str">
        <v>Raise</v>
      </c>
      <c r="E23" s="52">
        <f>_xlfn.XLOOKUP($A23,Model_Output[Product Name], Model_Output[V1 Suggested Price])</f>
        <v>232.14077285456503</v>
      </c>
      <c r="F23" s="53">
        <f>_xlfn.XLOOKUP($A23,Model_Output[Product Name], Model_Output[V1 Difference %])</f>
        <v>0.22185784964769206</v>
      </c>
      <c r="G23" s="52">
        <f>_xlfn.XLOOKUP($A23,Model_Output[Product Name],Model_Output[V1 Gross Revenue Impact])</f>
        <v>715.94009421869032</v>
      </c>
      <c r="H23" s="52">
        <f>_xlfn.XLOOKUP($A23,Model_Output[Product Name],Model_Output[V1 Gross Profit Impact $])</f>
        <v>842.96009421868985</v>
      </c>
      <c r="I23" s="54">
        <f>_xlfn.XLOOKUP($A23,Model_Output[Product Name], Model_Output[Adjusted Price])</f>
        <v>215.28046371273902</v>
      </c>
      <c r="J23" s="55">
        <f>_xlfn.XLOOKUP($A23,Model_Output[Product Name], Model_Output[Adjusted Difference %])</f>
        <v>0.13311470978861525</v>
      </c>
      <c r="K23" s="54">
        <f>_xlfn.XLOOKUP($A23,Model_Output[Product Name], Model_Output[Adjusted Gross Revenue Impact])</f>
        <v>387.1746237135585</v>
      </c>
      <c r="L23" s="54">
        <f>_xlfn.XLOOKUP($A23,Model_Output[Product Name], Model_Output[Projected Gross Profit Impact $])</f>
        <v>481.86071416271807</v>
      </c>
      <c r="M23" s="56">
        <f>_xlfn.XLOOKUP($A23,Model_Output[Product Name], Model_Output[Total LTV at Risk])</f>
        <v>1631.9228817867202</v>
      </c>
      <c r="N23" s="56" cm="1">
        <f t="array" ref="N23:O23">_xlfn.XLOOKUP($A23,Model_Output[Product Name], Model_Output[[LTV Protected]:[LTV Sacrificed]])</f>
        <v>492.54399704835561</v>
      </c>
      <c r="O23" s="37">
        <v>738.81599557253344</v>
      </c>
      <c r="P23" s="37">
        <f t="shared" si="0"/>
        <v>400.56288916583117</v>
      </c>
    </row>
    <row r="24" spans="1:16" ht="15.75" x14ac:dyDescent="0.25">
      <c r="A24" s="1" t="str">
        <v>Jump Rope</v>
      </c>
      <c r="B24" s="1" t="str">
        <v>Sports &amp; Outdoors</v>
      </c>
      <c r="C24" s="17">
        <v>112.56</v>
      </c>
      <c r="D24" s="50" t="str">
        <v>Hold</v>
      </c>
      <c r="E24" s="52">
        <f>_xlfn.XLOOKUP($A24,Model_Output[Product Name], Model_Output[V1 Suggested Price])</f>
        <v>124.60661115062148</v>
      </c>
      <c r="F24" s="53">
        <f>_xlfn.XLOOKUP($A24,Model_Output[Product Name], Model_Output[V1 Difference %])</f>
        <v>0.10702390858761081</v>
      </c>
      <c r="G24" s="52">
        <f>_xlfn.XLOOKUP($A24,Model_Output[Product Name],Model_Output[V1 Gross Revenue Impact])</f>
        <v>979.85122372361684</v>
      </c>
      <c r="H24" s="52">
        <f>_xlfn.XLOOKUP($A24,Model_Output[Product Name],Model_Output[V1 Gross Profit Impact $])</f>
        <v>1086.0712237236162</v>
      </c>
      <c r="I24" s="54">
        <f>_xlfn.XLOOKUP($A24,Model_Output[Product Name], Model_Output[Adjusted Price])</f>
        <v>119.78796669037288</v>
      </c>
      <c r="J24" s="55">
        <f>_xlfn.XLOOKUP($A24,Model_Output[Product Name], Model_Output[Adjusted Difference %])</f>
        <v>6.4214345152566465E-2</v>
      </c>
      <c r="K24" s="54">
        <f>_xlfn.XLOOKUP($A24,Model_Output[Product Name], Model_Output[Adjusted Gross Revenue Impact])</f>
        <v>166.04497420404005</v>
      </c>
      <c r="L24" s="54">
        <f>_xlfn.XLOOKUP($A24,Model_Output[Product Name], Model_Output[Projected Gross Profit Impact $])</f>
        <v>220.61175614088506</v>
      </c>
      <c r="M24" s="56">
        <f>_xlfn.XLOOKUP($A24,Model_Output[Product Name], Model_Output[Total LTV at Risk])</f>
        <v>2590.186588054918</v>
      </c>
      <c r="N24" s="56" cm="1">
        <f t="array" ref="N24:O24">_xlfn.XLOOKUP($A24,Model_Output[Product Name], Model_Output[[LTV Protected]:[LTV Sacrificed]])</f>
        <v>777.05597641647591</v>
      </c>
      <c r="O24" s="37">
        <v>1165.5839646247127</v>
      </c>
      <c r="P24" s="37">
        <f t="shared" si="0"/>
        <v>647.5466470137294</v>
      </c>
    </row>
    <row r="25" spans="1:16" ht="15.75" x14ac:dyDescent="0.25">
      <c r="A25" s="1" t="str">
        <v>Foam Roller</v>
      </c>
      <c r="B25" s="1" t="str">
        <v>Sports &amp; Outdoors</v>
      </c>
      <c r="C25" s="17">
        <v>144.94999999999999</v>
      </c>
      <c r="D25" s="50" t="str">
        <v>Raise</v>
      </c>
      <c r="E25" s="52">
        <f>_xlfn.XLOOKUP($A25,Model_Output[Product Name], Model_Output[V1 Suggested Price])</f>
        <v>181.88519051376983</v>
      </c>
      <c r="F25" s="53">
        <f>_xlfn.XLOOKUP($A25,Model_Output[Product Name], Model_Output[V1 Difference %])</f>
        <v>0.25481331848064742</v>
      </c>
      <c r="G25" s="52">
        <f>_xlfn.XLOOKUP($A25,Model_Output[Product Name],Model_Output[V1 Gross Revenue Impact])</f>
        <v>337.99823873408741</v>
      </c>
      <c r="H25" s="52">
        <f>_xlfn.XLOOKUP($A25,Model_Output[Product Name],Model_Output[V1 Gross Profit Impact $])</f>
        <v>492.37823873408729</v>
      </c>
      <c r="I25" s="54">
        <f>_xlfn.XLOOKUP($A25,Model_Output[Product Name], Model_Output[Adjusted Price])</f>
        <v>167.1111143082619</v>
      </c>
      <c r="J25" s="55">
        <f>_xlfn.XLOOKUP($A25,Model_Output[Product Name], Model_Output[Adjusted Difference %])</f>
        <v>0.15288799108838852</v>
      </c>
      <c r="K25" s="54">
        <f>_xlfn.XLOOKUP($A25,Model_Output[Product Name], Model_Output[Adjusted Gross Revenue Impact])</f>
        <v>226.88662443797148</v>
      </c>
      <c r="L25" s="54">
        <f>_xlfn.XLOOKUP($A25,Model_Output[Product Name], Model_Output[Projected Gross Profit Impact $])</f>
        <v>316.57744708202813</v>
      </c>
      <c r="M25" s="56">
        <f>_xlfn.XLOOKUP($A25,Model_Output[Product Name], Model_Output[Total LTV at Risk])</f>
        <v>1457.9708511723543</v>
      </c>
      <c r="N25" s="56" cm="1">
        <f t="array" ref="N25:O25">_xlfn.XLOOKUP($A25,Model_Output[Product Name], Model_Output[[LTV Protected]:[LTV Sacrificed]])</f>
        <v>519.03762301735776</v>
      </c>
      <c r="O25" s="37">
        <v>778.55643452603761</v>
      </c>
      <c r="P25" s="37">
        <f t="shared" si="0"/>
        <v>160.37679362895892</v>
      </c>
    </row>
    <row r="26" spans="1:16" ht="15.75" x14ac:dyDescent="0.25">
      <c r="A26" s="1" t="str">
        <v>Gym Bag</v>
      </c>
      <c r="B26" s="1" t="str">
        <v>Sports &amp; Outdoors</v>
      </c>
      <c r="C26" s="17">
        <v>101.6</v>
      </c>
      <c r="D26" s="50" t="str">
        <v>Hold</v>
      </c>
      <c r="E26" s="52">
        <f>_xlfn.XLOOKUP($A26,Model_Output[Product Name], Model_Output[V1 Suggested Price])</f>
        <v>110.85658594324225</v>
      </c>
      <c r="F26" s="53">
        <f>_xlfn.XLOOKUP($A26,Model_Output[Product Name], Model_Output[V1 Difference %])</f>
        <v>9.1108129362620652E-2</v>
      </c>
      <c r="G26" s="52">
        <f>_xlfn.XLOOKUP($A26,Model_Output[Product Name],Model_Output[V1 Gross Revenue Impact])</f>
        <v>1073.7570939567217</v>
      </c>
      <c r="H26" s="52">
        <f>_xlfn.XLOOKUP($A26,Model_Output[Product Name],Model_Output[V1 Gross Profit Impact $])</f>
        <v>1121.4370939567214</v>
      </c>
      <c r="I26" s="54">
        <f>_xlfn.XLOOKUP($A26,Model_Output[Product Name], Model_Output[Adjusted Price])</f>
        <v>107.15395156594535</v>
      </c>
      <c r="J26" s="55">
        <f>_xlfn.XLOOKUP($A26,Model_Output[Product Name], Model_Output[Adjusted Difference %])</f>
        <v>5.466487761757239E-2</v>
      </c>
      <c r="K26" s="54">
        <f>_xlfn.XLOOKUP($A26,Model_Output[Product Name], Model_Output[Adjusted Gross Revenue Impact])</f>
        <v>118.80435474082151</v>
      </c>
      <c r="L26" s="54">
        <f>_xlfn.XLOOKUP($A26,Model_Output[Product Name], Model_Output[Projected Gross Profit Impact $])</f>
        <v>157.37939093994805</v>
      </c>
      <c r="M26" s="56">
        <f>_xlfn.XLOOKUP($A26,Model_Output[Product Name], Model_Output[Total LTV at Risk])</f>
        <v>1862.6932397664843</v>
      </c>
      <c r="N26" s="56" cm="1">
        <f t="array" ref="N26:O26">_xlfn.XLOOKUP($A26,Model_Output[Product Name], Model_Output[[LTV Protected]:[LTV Sacrificed]])</f>
        <v>550.82500090237477</v>
      </c>
      <c r="O26" s="37">
        <v>826.23750135356204</v>
      </c>
      <c r="P26" s="37">
        <f t="shared" si="0"/>
        <v>485.63073751054753</v>
      </c>
    </row>
    <row r="27" spans="1:16" ht="15.75" x14ac:dyDescent="0.25">
      <c r="A27" s="1" t="str">
        <v>Protein Shaker</v>
      </c>
      <c r="B27" s="1" t="str">
        <v>Sports &amp; Outdoors</v>
      </c>
      <c r="C27" s="17">
        <v>99.75</v>
      </c>
      <c r="D27" s="50" t="str">
        <v>Raise</v>
      </c>
      <c r="E27" s="52">
        <f>_xlfn.XLOOKUP($A27,Model_Output[Product Name], Model_Output[V1 Suggested Price])</f>
        <v>110.43409123252499</v>
      </c>
      <c r="F27" s="53">
        <f>_xlfn.XLOOKUP($A27,Model_Output[Product Name], Model_Output[V1 Difference %])</f>
        <v>0.10710868403533827</v>
      </c>
      <c r="G27" s="52">
        <f>_xlfn.XLOOKUP($A27,Model_Output[Product Name],Model_Output[V1 Gross Revenue Impact])</f>
        <v>597.24501067332449</v>
      </c>
      <c r="H27" s="52">
        <f>_xlfn.XLOOKUP($A27,Model_Output[Product Name],Model_Output[V1 Gross Profit Impact $])</f>
        <v>635.3750106733246</v>
      </c>
      <c r="I27" s="54">
        <f>_xlfn.XLOOKUP($A27,Model_Output[Product Name], Model_Output[Adjusted Price])</f>
        <v>106.16045473951499</v>
      </c>
      <c r="J27" s="55">
        <f>_xlfn.XLOOKUP($A27,Model_Output[Product Name], Model_Output[Adjusted Difference %])</f>
        <v>6.4265210421202895E-2</v>
      </c>
      <c r="K27" s="54">
        <f>_xlfn.XLOOKUP($A27,Model_Output[Product Name], Model_Output[Adjusted Gross Revenue Impact])</f>
        <v>125.1704952569703</v>
      </c>
      <c r="L27" s="54">
        <f>_xlfn.XLOOKUP($A27,Model_Output[Product Name], Model_Output[Projected Gross Profit Impact $])</f>
        <v>158.49637689467272</v>
      </c>
      <c r="M27" s="56">
        <f>_xlfn.XLOOKUP($A27,Model_Output[Product Name], Model_Output[Total LTV at Risk])</f>
        <v>1533.9834111929088</v>
      </c>
      <c r="N27" s="56" cm="1">
        <f t="array" ref="N27:O27">_xlfn.XLOOKUP($A27,Model_Output[Product Name], Model_Output[[LTV Protected]:[LTV Sacrificed]])</f>
        <v>474.35487023042327</v>
      </c>
      <c r="O27" s="37">
        <v>711.53230534563318</v>
      </c>
      <c r="P27" s="37">
        <f t="shared" si="0"/>
        <v>348.09623561685225</v>
      </c>
    </row>
    <row r="28" spans="1:16" ht="15.75" x14ac:dyDescent="0.25">
      <c r="A28" s="20" t="s">
        <v>78</v>
      </c>
      <c r="B28" s="20"/>
      <c r="C28" s="20"/>
      <c r="D28" s="20"/>
      <c r="E28" s="20"/>
      <c r="F28" s="23">
        <f>AVERAGE(F$4:F$27)</f>
        <v>0.14808725161203898</v>
      </c>
      <c r="G28" s="22">
        <f>SUM($G$4:$G$27)</f>
        <v>12361.13655059046</v>
      </c>
      <c r="H28" s="22">
        <f>SUM(H4:H27)</f>
        <v>14551.066550590454</v>
      </c>
      <c r="I28" s="23"/>
      <c r="J28" s="23">
        <f t="shared" ref="J28" si="1">AVERAGE(J$4:J$27)</f>
        <v>8.875810954901979E-2</v>
      </c>
      <c r="K28" s="22">
        <f>SUM(K4:K27)</f>
        <v>4290.1697849377797</v>
      </c>
      <c r="L28" s="22">
        <f>SUM(L4:L27)</f>
        <v>5575.3185542887031</v>
      </c>
      <c r="M28" s="22">
        <f>SUM(M$4:M$27)</f>
        <v>36380.520747037706</v>
      </c>
      <c r="N28" s="22">
        <f t="shared" ref="N28:P28" si="2">SUM(N$4:N$27)</f>
        <v>11671.306382220047</v>
      </c>
      <c r="O28" s="22">
        <f t="shared" si="2"/>
        <v>17442.248789494719</v>
      </c>
      <c r="P28" s="22">
        <f t="shared" si="2"/>
        <v>7266.9655753229354</v>
      </c>
    </row>
  </sheetData>
  <conditionalFormatting sqref="A4:C27">
    <cfRule type="expression" dxfId="9" priority="1">
      <formula>MOD(ROW(),2)=1</formula>
    </cfRule>
  </conditionalFormatting>
  <conditionalFormatting sqref="D4:D27">
    <cfRule type="containsText" dxfId="8" priority="5" operator="containsText" text="Reduce">
      <formula>NOT(ISERROR(SEARCH("Reduce",D4)))</formula>
    </cfRule>
    <cfRule type="containsText" dxfId="7" priority="6" operator="containsText" text="Hold">
      <formula>NOT(ISERROR(SEARCH("Hold",D4)))</formula>
    </cfRule>
    <cfRule type="containsText" dxfId="6" priority="7" operator="containsText" text="Raise">
      <formula>NOT(ISERROR(SEARCH("Raise",D4)))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4A31E-354E-4832-90E8-70B1CE5B7DFC}">
  <sheetPr>
    <tabColor rgb="FF00B050"/>
  </sheetPr>
  <dimension ref="A1:O28"/>
  <sheetViews>
    <sheetView workbookViewId="0"/>
  </sheetViews>
  <sheetFormatPr defaultRowHeight="15" x14ac:dyDescent="0.25"/>
  <cols>
    <col min="1" max="1" width="21.140625" bestFit="1" customWidth="1"/>
    <col min="2" max="2" width="23.42578125" bestFit="1" customWidth="1"/>
    <col min="3" max="3" width="25.140625" bestFit="1" customWidth="1"/>
    <col min="4" max="4" width="25.28515625" bestFit="1" customWidth="1"/>
    <col min="5" max="5" width="39.28515625" bestFit="1" customWidth="1"/>
    <col min="6" max="6" width="11.85546875" bestFit="1" customWidth="1"/>
    <col min="7" max="7" width="9" bestFit="1" customWidth="1"/>
    <col min="8" max="8" width="13.5703125" bestFit="1" customWidth="1"/>
    <col min="9" max="9" width="8.42578125" bestFit="1" customWidth="1"/>
    <col min="10" max="10" width="15.5703125" bestFit="1" customWidth="1"/>
    <col min="11" max="11" width="19.140625" bestFit="1" customWidth="1"/>
    <col min="12" max="12" width="13.5703125" bestFit="1" customWidth="1"/>
    <col min="13" max="13" width="17.28515625" bestFit="1" customWidth="1"/>
    <col min="14" max="14" width="17" bestFit="1" customWidth="1"/>
    <col min="15" max="15" width="31.5703125" bestFit="1" customWidth="1"/>
  </cols>
  <sheetData>
    <row r="1" spans="1:15" ht="23.25" x14ac:dyDescent="0.35">
      <c r="A1" s="12" t="s">
        <v>89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15.75" x14ac:dyDescent="0.25">
      <c r="A2" s="48" t="s">
        <v>87</v>
      </c>
      <c r="B2" s="38"/>
      <c r="C2" s="40" t="s">
        <v>93</v>
      </c>
      <c r="D2" s="39"/>
      <c r="E2" s="39"/>
      <c r="F2" s="39"/>
      <c r="G2" s="39"/>
      <c r="H2" s="39"/>
      <c r="I2" s="39"/>
      <c r="J2" s="39"/>
      <c r="K2" s="39"/>
      <c r="L2" s="39"/>
      <c r="M2" s="41" t="s">
        <v>94</v>
      </c>
      <c r="N2" s="25"/>
      <c r="O2" s="25"/>
    </row>
    <row r="3" spans="1:15" ht="18.75" x14ac:dyDescent="0.25">
      <c r="A3" s="15" t="s">
        <v>72</v>
      </c>
      <c r="B3" s="15" t="s">
        <v>2</v>
      </c>
      <c r="C3" s="15" t="s">
        <v>90</v>
      </c>
      <c r="D3" s="15" t="s">
        <v>17</v>
      </c>
      <c r="E3" s="15" t="s">
        <v>92</v>
      </c>
      <c r="F3" s="15" t="s">
        <v>21</v>
      </c>
      <c r="G3" s="15" t="s">
        <v>22</v>
      </c>
      <c r="H3" s="15" t="s">
        <v>23</v>
      </c>
      <c r="I3" s="15" t="s">
        <v>91</v>
      </c>
      <c r="J3" s="15" t="s">
        <v>16</v>
      </c>
      <c r="K3" s="15" t="s">
        <v>19</v>
      </c>
      <c r="L3" s="15" t="s">
        <v>71</v>
      </c>
      <c r="M3" s="15" t="s">
        <v>43</v>
      </c>
      <c r="N3" s="15" t="s">
        <v>44</v>
      </c>
      <c r="O3" s="15" t="s">
        <v>137</v>
      </c>
    </row>
    <row r="4" spans="1:15" ht="15.75" x14ac:dyDescent="0.25">
      <c r="A4" s="1" t="str" cm="1">
        <f t="array" ref="A4:A27">_xlfn.ANCHORARRAY('Executive Summary'!A13)</f>
        <v>Wireless Earbuds</v>
      </c>
      <c r="B4" s="1" t="str" cm="1">
        <f t="array" ref="B4:B27">'Executive Summary'!B13:B36</f>
        <v>Electronics</v>
      </c>
      <c r="C4" s="27" t="str">
        <f>_xlfn.XLOOKUP($A4,Model_Output[Product Name], Model_Output[Dominant Tier])</f>
        <v>Critical</v>
      </c>
      <c r="D4" s="19">
        <f>_xlfn.XLOOKUP($A4,Model_Output[Product Name], Model_Output[Average Churn Score])</f>
        <v>70.50526195103842</v>
      </c>
      <c r="E4" s="42">
        <f>_xlfn.XLOOKUP($A4,Model_Output[Product Name], Model_Output[Average Projected Churn Rate])</f>
        <v>0.31812470081886585</v>
      </c>
      <c r="F4" s="42" cm="1">
        <f t="array" ref="F4:I4">_xlfn.XLOOKUP($A4,Model_Output[Product Name], Model_Output[[% Critical]:[%Low]])</f>
        <v>0.5</v>
      </c>
      <c r="G4" s="42">
        <v>0.3</v>
      </c>
      <c r="H4" s="42">
        <v>0.2</v>
      </c>
      <c r="I4" s="42">
        <v>0</v>
      </c>
      <c r="J4" s="43">
        <f>_xlfn.XLOOKUP($A4,Model_Output[Product Name], Model_Output[Total Buyers])</f>
        <v>10</v>
      </c>
      <c r="K4" s="44" cm="1">
        <f t="array" ref="K4:L4">_xlfn.XLOOKUP($A4,Model_Output[Product Name], Model_Output[[Total Buyer LTV]:[Total LTV at Risk]])</f>
        <v>3841.99</v>
      </c>
      <c r="L4" s="44">
        <v>1112.0931944026663</v>
      </c>
      <c r="M4" s="45" cm="1">
        <f t="array" ref="M4:O4">_xlfn.XLOOKUP($A4,Model_Output[Product Name], Model_Output[[LTV Protected]:[LTV Protection-Adjusted Risk Ratio]])</f>
        <v>358.09400859765856</v>
      </c>
      <c r="N4" s="45">
        <v>537.14101289648772</v>
      </c>
      <c r="O4" s="46">
        <v>0.66666666666666685</v>
      </c>
    </row>
    <row r="5" spans="1:15" ht="15.75" x14ac:dyDescent="0.25">
      <c r="A5" s="1" t="str">
        <v>Bluetooth Speaker</v>
      </c>
      <c r="B5" s="1" t="str">
        <v>Electronics</v>
      </c>
      <c r="C5" s="27" t="str">
        <f>_xlfn.XLOOKUP($A5,Model_Output[Product Name], Model_Output[Dominant Tier])</f>
        <v>High</v>
      </c>
      <c r="D5" s="19">
        <f>_xlfn.XLOOKUP($A5,Model_Output[Product Name], Model_Output[Average Churn Score])</f>
        <v>66.806056245059409</v>
      </c>
      <c r="E5" s="42">
        <f>_xlfn.XLOOKUP($A5,Model_Output[Product Name], Model_Output[Average Projected Churn Rate])</f>
        <v>0.26336464749445365</v>
      </c>
      <c r="F5" s="42" cm="1">
        <f t="array" ref="F5:I5">_xlfn.XLOOKUP($A5,Model_Output[Product Name], Model_Output[[% Critical]:[%Low]])</f>
        <v>0.33333333333333331</v>
      </c>
      <c r="G5" s="42">
        <v>0.44444444444444442</v>
      </c>
      <c r="H5" s="42">
        <v>0.22222222222222221</v>
      </c>
      <c r="I5" s="42">
        <v>0</v>
      </c>
      <c r="J5" s="43">
        <f>_xlfn.XLOOKUP($A5,Model_Output[Product Name], Model_Output[Total Buyers])</f>
        <v>9</v>
      </c>
      <c r="K5" s="44" cm="1">
        <f t="array" ref="K5:L5">_xlfn.XLOOKUP($A5,Model_Output[Product Name], Model_Output[[Total Buyer LTV]:[Total LTV at Risk]])</f>
        <v>5045.9799999999996</v>
      </c>
      <c r="L5" s="44">
        <v>1487.0300026323653</v>
      </c>
      <c r="M5" s="45" cm="1">
        <f t="array" ref="M5:O5">_xlfn.XLOOKUP($A5,Model_Output[Product Name], Model_Output[[LTV Protected]:[LTV Protection-Adjusted Risk Ratio]])</f>
        <v>449.41351190667075</v>
      </c>
      <c r="N5" s="45">
        <v>674.12026786000524</v>
      </c>
      <c r="O5" s="46">
        <v>0.66666666666666752</v>
      </c>
    </row>
    <row r="6" spans="1:15" ht="15.75" x14ac:dyDescent="0.25">
      <c r="A6" s="1" t="str">
        <v>USB-C Hub</v>
      </c>
      <c r="B6" s="1" t="str">
        <v>Electronics</v>
      </c>
      <c r="C6" s="27" t="str">
        <f>_xlfn.XLOOKUP($A6,Model_Output[Product Name], Model_Output[Dominant Tier])</f>
        <v>Critical</v>
      </c>
      <c r="D6" s="19">
        <f>_xlfn.XLOOKUP($A6,Model_Output[Product Name], Model_Output[Average Churn Score])</f>
        <v>68.467576729791105</v>
      </c>
      <c r="E6" s="42">
        <f>_xlfn.XLOOKUP($A6,Model_Output[Product Name], Model_Output[Average Projected Churn Rate])</f>
        <v>0.25195320163668511</v>
      </c>
      <c r="F6" s="42" cm="1">
        <f t="array" ref="F6:I6">_xlfn.XLOOKUP($A6,Model_Output[Product Name], Model_Output[[% Critical]:[%Low]])</f>
        <v>0.55555555555555558</v>
      </c>
      <c r="G6" s="42">
        <v>0.1111111111111111</v>
      </c>
      <c r="H6" s="42">
        <v>0.33333333333333331</v>
      </c>
      <c r="I6" s="42">
        <v>0</v>
      </c>
      <c r="J6" s="43">
        <f>_xlfn.XLOOKUP($A6,Model_Output[Product Name], Model_Output[Total Buyers])</f>
        <v>9</v>
      </c>
      <c r="K6" s="44" cm="1">
        <f t="array" ref="K6:L6">_xlfn.XLOOKUP($A6,Model_Output[Product Name], Model_Output[[Total Buyer LTV]:[Total LTV at Risk]])</f>
        <v>6058.7500000000009</v>
      </c>
      <c r="L6" s="44">
        <v>1216.0706729565338</v>
      </c>
      <c r="M6" s="45" cm="1">
        <f t="array" ref="M6:O6">_xlfn.XLOOKUP($A6,Model_Output[Product Name], Model_Output[[LTV Protected]:[LTV Protection-Adjusted Risk Ratio]])</f>
        <v>375.63071897990716</v>
      </c>
      <c r="N6" s="45">
        <v>563.44607846986059</v>
      </c>
      <c r="O6" s="46">
        <v>0.66666666666666685</v>
      </c>
    </row>
    <row r="7" spans="1:15" ht="15.75" x14ac:dyDescent="0.25">
      <c r="A7" s="1" t="str">
        <v>Mechanical Keyboard</v>
      </c>
      <c r="B7" s="1" t="str">
        <v>Electronics</v>
      </c>
      <c r="C7" s="27" t="str">
        <f>_xlfn.XLOOKUP($A7,Model_Output[Product Name], Model_Output[Dominant Tier])</f>
        <v>Critical</v>
      </c>
      <c r="D7" s="19">
        <f>_xlfn.XLOOKUP($A7,Model_Output[Product Name], Model_Output[Average Churn Score])</f>
        <v>63.379342377199613</v>
      </c>
      <c r="E7" s="42">
        <f>_xlfn.XLOOKUP($A7,Model_Output[Product Name], Model_Output[Average Projected Churn Rate])</f>
        <v>0.19532650064710491</v>
      </c>
      <c r="F7" s="42" cm="1">
        <f t="array" ref="F7:I7">_xlfn.XLOOKUP($A7,Model_Output[Product Name], Model_Output[[% Critical]:[%Low]])</f>
        <v>0.4</v>
      </c>
      <c r="G7" s="42">
        <v>0.3</v>
      </c>
      <c r="H7" s="42">
        <v>0.2</v>
      </c>
      <c r="I7" s="42">
        <v>0.1</v>
      </c>
      <c r="J7" s="43">
        <f>_xlfn.XLOOKUP($A7,Model_Output[Product Name], Model_Output[Total Buyers])</f>
        <v>10</v>
      </c>
      <c r="K7" s="44" cm="1">
        <f t="array" ref="K7:L7">_xlfn.XLOOKUP($A7,Model_Output[Product Name], Model_Output[[Total Buyer LTV]:[Total LTV at Risk]])</f>
        <v>8331.7199999999993</v>
      </c>
      <c r="L7" s="44">
        <v>1378.1368137193899</v>
      </c>
      <c r="M7" s="45" cm="1">
        <f t="array" ref="M7:O7">_xlfn.XLOOKUP($A7,Model_Output[Product Name], Model_Output[[LTV Protected]:[LTV Protection-Adjusted Risk Ratio]])</f>
        <v>396.9034023511847</v>
      </c>
      <c r="N7" s="45">
        <v>595.35510352677613</v>
      </c>
      <c r="O7" s="46">
        <v>0.66666666666666774</v>
      </c>
    </row>
    <row r="8" spans="1:15" ht="15.75" x14ac:dyDescent="0.25">
      <c r="A8" s="1" t="str">
        <v>Phone Stand</v>
      </c>
      <c r="B8" s="1" t="str">
        <v>Electronics</v>
      </c>
      <c r="C8" s="27" t="str">
        <f>_xlfn.XLOOKUP($A8,Model_Output[Product Name], Model_Output[Dominant Tier])</f>
        <v>Critical</v>
      </c>
      <c r="D8" s="19">
        <f>_xlfn.XLOOKUP($A8,Model_Output[Product Name], Model_Output[Average Churn Score])</f>
        <v>72.583715875473729</v>
      </c>
      <c r="E8" s="42">
        <f>_xlfn.XLOOKUP($A8,Model_Output[Product Name], Model_Output[Average Projected Churn Rate])</f>
        <v>0.24760819868499095</v>
      </c>
      <c r="F8" s="42" cm="1">
        <f t="array" ref="F8:I8">_xlfn.XLOOKUP($A8,Model_Output[Product Name], Model_Output[[% Critical]:[%Low]])</f>
        <v>0.58333333333333337</v>
      </c>
      <c r="G8" s="42">
        <v>0.33333333333333331</v>
      </c>
      <c r="H8" s="42">
        <v>8.3333333333333329E-2</v>
      </c>
      <c r="I8" s="42">
        <v>0</v>
      </c>
      <c r="J8" s="43">
        <f>_xlfn.XLOOKUP($A8,Model_Output[Product Name], Model_Output[Total Buyers])</f>
        <v>12</v>
      </c>
      <c r="K8" s="44" cm="1">
        <f t="array" ref="K8:L8">_xlfn.XLOOKUP($A8,Model_Output[Product Name], Model_Output[[Total Buyer LTV]:[Total LTV at Risk]])</f>
        <v>9553.98</v>
      </c>
      <c r="L8" s="44">
        <v>1987.17375700722</v>
      </c>
      <c r="M8" s="45" cm="1">
        <f t="array" ref="M8:O8">_xlfn.XLOOKUP($A8,Model_Output[Product Name], Model_Output[[LTV Protected]:[LTV Protection-Adjusted Risk Ratio]])</f>
        <v>688.88690242917028</v>
      </c>
      <c r="N8" s="45">
        <v>1033.3303536437538</v>
      </c>
      <c r="O8" s="46">
        <v>0.66666666666666774</v>
      </c>
    </row>
    <row r="9" spans="1:15" ht="15.75" x14ac:dyDescent="0.25">
      <c r="A9" s="1" t="str">
        <v>Slim Fit Jeans</v>
      </c>
      <c r="B9" s="1" t="str">
        <v>Apparel</v>
      </c>
      <c r="C9" s="27" t="str">
        <f>_xlfn.XLOOKUP($A9,Model_Output[Product Name], Model_Output[Dominant Tier])</f>
        <v>Critical</v>
      </c>
      <c r="D9" s="19">
        <f>_xlfn.XLOOKUP($A9,Model_Output[Product Name], Model_Output[Average Churn Score])</f>
        <v>81.368042561098989</v>
      </c>
      <c r="E9" s="42">
        <f>_xlfn.XLOOKUP($A9,Model_Output[Product Name], Model_Output[Average Projected Churn Rate])</f>
        <v>0.36473223781720471</v>
      </c>
      <c r="F9" s="42" cm="1">
        <f t="array" ref="F9:I9">_xlfn.XLOOKUP($A9,Model_Output[Product Name], Model_Output[[% Critical]:[%Low]])</f>
        <v>0.70588235294117652</v>
      </c>
      <c r="G9" s="42">
        <v>0.23529411764705882</v>
      </c>
      <c r="H9" s="42">
        <v>5.8823529411764705E-2</v>
      </c>
      <c r="I9" s="42">
        <v>0</v>
      </c>
      <c r="J9" s="43">
        <f>_xlfn.XLOOKUP($A9,Model_Output[Product Name], Model_Output[Total Buyers])</f>
        <v>17</v>
      </c>
      <c r="K9" s="44" cm="1">
        <f t="array" ref="K9:L9">_xlfn.XLOOKUP($A9,Model_Output[Product Name], Model_Output[[Total Buyer LTV]:[Total LTV at Risk]])</f>
        <v>5696.8899999999994</v>
      </c>
      <c r="L9" s="44">
        <v>1838.4436548864205</v>
      </c>
      <c r="M9" s="45" cm="1">
        <f t="array" ref="M9:O9">_xlfn.XLOOKUP($A9,Model_Output[Product Name], Model_Output[[LTV Protected]:[LTV Protection-Adjusted Risk Ratio]])</f>
        <v>666.16546553531475</v>
      </c>
      <c r="N9" s="45">
        <v>999.24819830297201</v>
      </c>
      <c r="O9" s="46">
        <v>0.66666666666666674</v>
      </c>
    </row>
    <row r="10" spans="1:15" ht="15.75" x14ac:dyDescent="0.25">
      <c r="A10" s="1" t="str">
        <v>Graphic Tee</v>
      </c>
      <c r="B10" s="1" t="str">
        <v>Apparel</v>
      </c>
      <c r="C10" s="27" t="str">
        <f>_xlfn.XLOOKUP($A10,Model_Output[Product Name], Model_Output[Dominant Tier])</f>
        <v>Critical</v>
      </c>
      <c r="D10" s="19">
        <f>_xlfn.XLOOKUP($A10,Model_Output[Product Name], Model_Output[Average Churn Score])</f>
        <v>66.151439602997598</v>
      </c>
      <c r="E10" s="42">
        <f>_xlfn.XLOOKUP($A10,Model_Output[Product Name], Model_Output[Average Projected Churn Rate])</f>
        <v>0.25273448132010606</v>
      </c>
      <c r="F10" s="42" cm="1">
        <f t="array" ref="F10:I10">_xlfn.XLOOKUP($A10,Model_Output[Product Name], Model_Output[[% Critical]:[%Low]])</f>
        <v>0.4</v>
      </c>
      <c r="G10" s="42">
        <v>0.2</v>
      </c>
      <c r="H10" s="42">
        <v>0.4</v>
      </c>
      <c r="I10" s="42">
        <v>0</v>
      </c>
      <c r="J10" s="43">
        <f>_xlfn.XLOOKUP($A10,Model_Output[Product Name], Model_Output[Total Buyers])</f>
        <v>10</v>
      </c>
      <c r="K10" s="44" cm="1">
        <f t="array" ref="K10:L10">_xlfn.XLOOKUP($A10,Model_Output[Product Name], Model_Output[[Total Buyer LTV]:[Total LTV at Risk]])</f>
        <v>5893.09</v>
      </c>
      <c r="L10" s="44">
        <v>1511.5432138179046</v>
      </c>
      <c r="M10" s="45" cm="1">
        <f t="array" ref="M10:O10">_xlfn.XLOOKUP($A10,Model_Output[Product Name], Model_Output[[LTV Protected]:[LTV Protection-Adjusted Risk Ratio]])</f>
        <v>429.27827272428533</v>
      </c>
      <c r="N10" s="45">
        <v>643.91740908642703</v>
      </c>
      <c r="O10" s="46">
        <v>0.66666666666666763</v>
      </c>
    </row>
    <row r="11" spans="1:15" ht="15.75" x14ac:dyDescent="0.25">
      <c r="A11" s="1" t="str">
        <v>Wool Sweater</v>
      </c>
      <c r="B11" s="1" t="str">
        <v>Apparel</v>
      </c>
      <c r="C11" s="27" t="str">
        <f>_xlfn.XLOOKUP($A11,Model_Output[Product Name], Model_Output[Dominant Tier])</f>
        <v>Critical</v>
      </c>
      <c r="D11" s="19">
        <f>_xlfn.XLOOKUP($A11,Model_Output[Product Name], Model_Output[Average Churn Score])</f>
        <v>75.76755153998532</v>
      </c>
      <c r="E11" s="42">
        <f>_xlfn.XLOOKUP($A11,Model_Output[Product Name], Model_Output[Average Projected Churn Rate])</f>
        <v>0.28614482209176356</v>
      </c>
      <c r="F11" s="42" cm="1">
        <f t="array" ref="F11:I11">_xlfn.XLOOKUP($A11,Model_Output[Product Name], Model_Output[[% Critical]:[%Low]])</f>
        <v>0.5</v>
      </c>
      <c r="G11" s="42">
        <v>0.5</v>
      </c>
      <c r="H11" s="42">
        <v>0</v>
      </c>
      <c r="I11" s="42">
        <v>0</v>
      </c>
      <c r="J11" s="43">
        <f>_xlfn.XLOOKUP($A11,Model_Output[Product Name], Model_Output[Total Buyers])</f>
        <v>10</v>
      </c>
      <c r="K11" s="44" cm="1">
        <f t="array" ref="K11:L11">_xlfn.XLOOKUP($A11,Model_Output[Product Name], Model_Output[[Total Buyer LTV]:[Total LTV at Risk]])</f>
        <v>4045.5299999999997</v>
      </c>
      <c r="L11" s="44">
        <v>1207.1798191480714</v>
      </c>
      <c r="M11" s="45" cm="1">
        <f t="array" ref="M11:O11">_xlfn.XLOOKUP($A11,Model_Output[Product Name], Model_Output[[LTV Protected]:[LTV Protection-Adjusted Risk Ratio]])</f>
        <v>422.51293670182497</v>
      </c>
      <c r="N11" s="45">
        <v>633.7694050527374</v>
      </c>
      <c r="O11" s="46">
        <v>0.66666666666666674</v>
      </c>
    </row>
    <row r="12" spans="1:15" ht="15.75" x14ac:dyDescent="0.25">
      <c r="A12" s="1" t="str">
        <v>Canvas Tote Bag</v>
      </c>
      <c r="B12" s="1" t="str">
        <v>Apparel</v>
      </c>
      <c r="C12" s="27" t="str">
        <f>_xlfn.XLOOKUP($A12,Model_Output[Product Name], Model_Output[Dominant Tier])</f>
        <v>Critical</v>
      </c>
      <c r="D12" s="19">
        <f>_xlfn.XLOOKUP($A12,Model_Output[Product Name], Model_Output[Average Churn Score])</f>
        <v>69.769541493538881</v>
      </c>
      <c r="E12" s="42">
        <f>_xlfn.XLOOKUP($A12,Model_Output[Product Name], Model_Output[Average Projected Churn Rate])</f>
        <v>0.28227914447027186</v>
      </c>
      <c r="F12" s="42" cm="1">
        <f t="array" ref="F12:I12">_xlfn.XLOOKUP($A12,Model_Output[Product Name], Model_Output[[% Critical]:[%Low]])</f>
        <v>0.41666666666666669</v>
      </c>
      <c r="G12" s="42">
        <v>0.41666666666666669</v>
      </c>
      <c r="H12" s="42">
        <v>0.16666666666666666</v>
      </c>
      <c r="I12" s="42">
        <v>0</v>
      </c>
      <c r="J12" s="43">
        <f>_xlfn.XLOOKUP($A12,Model_Output[Product Name], Model_Output[Total Buyers])</f>
        <v>12</v>
      </c>
      <c r="K12" s="44" cm="1">
        <f t="array" ref="K12:L12">_xlfn.XLOOKUP($A12,Model_Output[Product Name], Model_Output[[Total Buyer LTV]:[Total LTV at Risk]])</f>
        <v>5455.85</v>
      </c>
      <c r="L12" s="44">
        <v>1437.4209803104648</v>
      </c>
      <c r="M12" s="45" cm="1">
        <f t="array" ref="M12:O12">_xlfn.XLOOKUP($A12,Model_Output[Product Name], Model_Output[[LTV Protected]:[LTV Protection-Adjusted Risk Ratio]])</f>
        <v>457.57901206549826</v>
      </c>
      <c r="N12" s="45">
        <v>686.36851809824657</v>
      </c>
      <c r="O12" s="46">
        <v>0.66666666666666752</v>
      </c>
    </row>
    <row r="13" spans="1:15" ht="15.75" x14ac:dyDescent="0.25">
      <c r="A13" s="1" t="str">
        <v>Air Fryer</v>
      </c>
      <c r="B13" s="1" t="str">
        <v>Home &amp; Kitchen</v>
      </c>
      <c r="C13" s="27" t="str">
        <f>_xlfn.XLOOKUP($A13,Model_Output[Product Name], Model_Output[Dominant Tier])</f>
        <v>Critical</v>
      </c>
      <c r="D13" s="19">
        <f>_xlfn.XLOOKUP($A13,Model_Output[Product Name], Model_Output[Average Churn Score])</f>
        <v>67.896640710337792</v>
      </c>
      <c r="E13" s="42">
        <f>_xlfn.XLOOKUP($A13,Model_Output[Product Name], Model_Output[Average Projected Churn Rate])</f>
        <v>0.21903189784736954</v>
      </c>
      <c r="F13" s="42" cm="1">
        <f t="array" ref="F13:I13">_xlfn.XLOOKUP($A13,Model_Output[Product Name], Model_Output[[% Critical]:[%Low]])</f>
        <v>0.46153846153846156</v>
      </c>
      <c r="G13" s="42">
        <v>0.38461538461538464</v>
      </c>
      <c r="H13" s="42">
        <v>0.15384615384615385</v>
      </c>
      <c r="I13" s="42">
        <v>0</v>
      </c>
      <c r="J13" s="43">
        <f>_xlfn.XLOOKUP($A13,Model_Output[Product Name], Model_Output[Total Buyers])</f>
        <v>13</v>
      </c>
      <c r="K13" s="44" cm="1">
        <f t="array" ref="K13:L13">_xlfn.XLOOKUP($A13,Model_Output[Product Name], Model_Output[[Total Buyer LTV]:[Total LTV at Risk]])</f>
        <v>7864.8700000000008</v>
      </c>
      <c r="L13" s="44">
        <v>1821.0803839968587</v>
      </c>
      <c r="M13" s="45" cm="1">
        <f t="array" ref="M13:O13">_xlfn.XLOOKUP($A13,Model_Output[Product Name], Model_Output[[LTV Protected]:[LTV Protection-Adjusted Risk Ratio]])</f>
        <v>591.15070926667283</v>
      </c>
      <c r="N13" s="45">
        <v>886.72606390000863</v>
      </c>
      <c r="O13" s="46">
        <v>0.66666666666666718</v>
      </c>
    </row>
    <row r="14" spans="1:15" ht="15.75" x14ac:dyDescent="0.25">
      <c r="A14" s="1" t="str">
        <v>Dish Rack</v>
      </c>
      <c r="B14" s="1" t="str">
        <v>Home &amp; Kitchen</v>
      </c>
      <c r="C14" s="27" t="str">
        <f>_xlfn.XLOOKUP($A14,Model_Output[Product Name], Model_Output[Dominant Tier])</f>
        <v>Critical</v>
      </c>
      <c r="D14" s="19">
        <f>_xlfn.XLOOKUP($A14,Model_Output[Product Name], Model_Output[Average Churn Score])</f>
        <v>83.640693880369497</v>
      </c>
      <c r="E14" s="42">
        <f>_xlfn.XLOOKUP($A14,Model_Output[Product Name], Model_Output[Average Projected Churn Rate])</f>
        <v>0.39945616218468216</v>
      </c>
      <c r="F14" s="42" cm="1">
        <f t="array" ref="F14:I14">_xlfn.XLOOKUP($A14,Model_Output[Product Name], Model_Output[[% Critical]:[%Low]])</f>
        <v>0.75</v>
      </c>
      <c r="G14" s="42">
        <v>0.16666666666666666</v>
      </c>
      <c r="H14" s="42">
        <v>8.3333333333333329E-2</v>
      </c>
      <c r="I14" s="42">
        <v>0</v>
      </c>
      <c r="J14" s="43">
        <f>_xlfn.XLOOKUP($A14,Model_Output[Product Name], Model_Output[Total Buyers])</f>
        <v>12</v>
      </c>
      <c r="K14" s="44" cm="1">
        <f t="array" ref="K14:L14">_xlfn.XLOOKUP($A14,Model_Output[Product Name], Model_Output[[Total Buyer LTV]:[Total LTV at Risk]])</f>
        <v>3203.34</v>
      </c>
      <c r="L14" s="44">
        <v>1061.3751512398956</v>
      </c>
      <c r="M14" s="45" cm="1">
        <f t="array" ref="M14:O14">_xlfn.XLOOKUP($A14,Model_Output[Product Name], Model_Output[[LTV Protected]:[LTV Protection-Adjusted Risk Ratio]])</f>
        <v>385.63297161716218</v>
      </c>
      <c r="N14" s="45">
        <v>578.44945742574293</v>
      </c>
      <c r="O14" s="46">
        <v>0.66666666666666707</v>
      </c>
    </row>
    <row r="15" spans="1:15" ht="15.75" x14ac:dyDescent="0.25">
      <c r="A15" s="1" t="str">
        <v>Storage Bins</v>
      </c>
      <c r="B15" s="1" t="str">
        <v>Home &amp; Kitchen</v>
      </c>
      <c r="C15" s="27" t="str">
        <f>_xlfn.XLOOKUP($A15,Model_Output[Product Name], Model_Output[Dominant Tier])</f>
        <v>Critical</v>
      </c>
      <c r="D15" s="19">
        <f>_xlfn.XLOOKUP($A15,Model_Output[Product Name], Model_Output[Average Churn Score])</f>
        <v>73.55832454483901</v>
      </c>
      <c r="E15" s="42">
        <f>_xlfn.XLOOKUP($A15,Model_Output[Product Name], Model_Output[Average Projected Churn Rate])</f>
        <v>0.22727841967734827</v>
      </c>
      <c r="F15" s="42" cm="1">
        <f t="array" ref="F15:I15">_xlfn.XLOOKUP($A15,Model_Output[Product Name], Model_Output[[% Critical]:[%Low]])</f>
        <v>0.5714285714285714</v>
      </c>
      <c r="G15" s="42">
        <v>0.14285714285714285</v>
      </c>
      <c r="H15" s="42">
        <v>0.2857142857142857</v>
      </c>
      <c r="I15" s="42">
        <v>0</v>
      </c>
      <c r="J15" s="43">
        <f>_xlfn.XLOOKUP($A15,Model_Output[Product Name], Model_Output[Total Buyers])</f>
        <v>7</v>
      </c>
      <c r="K15" s="44" cm="1">
        <f t="array" ref="K15:L15">_xlfn.XLOOKUP($A15,Model_Output[Product Name], Model_Output[[Total Buyer LTV]:[Total LTV at Risk]])</f>
        <v>2703.1299999999997</v>
      </c>
      <c r="L15" s="44">
        <v>804.52718410151249</v>
      </c>
      <c r="M15" s="45" cm="1">
        <f t="array" ref="M15:O15">_xlfn.XLOOKUP($A15,Model_Output[Product Name], Model_Output[[LTV Protected]:[LTV Protection-Adjusted Risk Ratio]])</f>
        <v>255.15004981505146</v>
      </c>
      <c r="N15" s="45">
        <v>382.72507472257621</v>
      </c>
      <c r="O15" s="46">
        <v>0.66666666666666841</v>
      </c>
    </row>
    <row r="16" spans="1:15" ht="15.75" x14ac:dyDescent="0.25">
      <c r="A16" s="1" t="str">
        <v>Scented Candle</v>
      </c>
      <c r="B16" s="1" t="str">
        <v>Home &amp; Kitchen</v>
      </c>
      <c r="C16" s="27" t="str">
        <f>_xlfn.XLOOKUP($A16,Model_Output[Product Name], Model_Output[Dominant Tier])</f>
        <v>Critical</v>
      </c>
      <c r="D16" s="19">
        <f>_xlfn.XLOOKUP($A16,Model_Output[Product Name], Model_Output[Average Churn Score])</f>
        <v>67.0117400614769</v>
      </c>
      <c r="E16" s="42">
        <f>_xlfn.XLOOKUP($A16,Model_Output[Product Name], Model_Output[Average Projected Churn Rate])</f>
        <v>0.25894826805529225</v>
      </c>
      <c r="F16" s="42" cm="1">
        <f t="array" ref="F16:I16">_xlfn.XLOOKUP($A16,Model_Output[Product Name], Model_Output[[% Critical]:[%Low]])</f>
        <v>0.5</v>
      </c>
      <c r="G16" s="42">
        <v>8.3333333333333329E-2</v>
      </c>
      <c r="H16" s="42">
        <v>0.41666666666666669</v>
      </c>
      <c r="I16" s="42">
        <v>0</v>
      </c>
      <c r="J16" s="43">
        <f>_xlfn.XLOOKUP($A16,Model_Output[Product Name], Model_Output[Total Buyers])</f>
        <v>12</v>
      </c>
      <c r="K16" s="44" cm="1">
        <f t="array" ref="K16:L16">_xlfn.XLOOKUP($A16,Model_Output[Product Name], Model_Output[[Total Buyer LTV]:[Total LTV at Risk]])</f>
        <v>7071.97</v>
      </c>
      <c r="L16" s="44">
        <v>1774.9243566264481</v>
      </c>
      <c r="M16" s="45" cm="1">
        <f t="array" ref="M16:O16">_xlfn.XLOOKUP($A16,Model_Output[Product Name], Model_Output[[LTV Protected]:[LTV Protection-Adjusted Risk Ratio]])</f>
        <v>543.57058421685042</v>
      </c>
      <c r="N16" s="45">
        <v>750.64509248993477</v>
      </c>
      <c r="O16" s="46">
        <v>0.72413793103448421</v>
      </c>
    </row>
    <row r="17" spans="1:15" ht="15.75" x14ac:dyDescent="0.25">
      <c r="A17" s="1" t="str">
        <v>Vitamin C Serum</v>
      </c>
      <c r="B17" s="1" t="str">
        <v>Beauty &amp; Personal Care</v>
      </c>
      <c r="C17" s="27" t="str">
        <f>_xlfn.XLOOKUP($A17,Model_Output[Product Name], Model_Output[Dominant Tier])</f>
        <v>Critical</v>
      </c>
      <c r="D17" s="19">
        <f>_xlfn.XLOOKUP($A17,Model_Output[Product Name], Model_Output[Average Churn Score])</f>
        <v>70.565038007429024</v>
      </c>
      <c r="E17" s="42">
        <f>_xlfn.XLOOKUP($A17,Model_Output[Product Name], Model_Output[Average Projected Churn Rate])</f>
        <v>0.2746601403332547</v>
      </c>
      <c r="F17" s="42" cm="1">
        <f t="array" ref="F17:I17">_xlfn.XLOOKUP($A17,Model_Output[Product Name], Model_Output[[% Critical]:[%Low]])</f>
        <v>0.47619047619047616</v>
      </c>
      <c r="G17" s="42">
        <v>0.33333333333333331</v>
      </c>
      <c r="H17" s="42">
        <v>0.19047619047619047</v>
      </c>
      <c r="I17" s="42">
        <v>0</v>
      </c>
      <c r="J17" s="43">
        <f>_xlfn.XLOOKUP($A17,Model_Output[Product Name], Model_Output[Total Buyers])</f>
        <v>21</v>
      </c>
      <c r="K17" s="44" cm="1">
        <f t="array" ref="K17:L17">_xlfn.XLOOKUP($A17,Model_Output[Product Name], Model_Output[[Total Buyer LTV]:[Total LTV at Risk]])</f>
        <v>8609.74</v>
      </c>
      <c r="L17" s="44">
        <v>2363.2455169389877</v>
      </c>
      <c r="M17" s="45" cm="1">
        <f t="array" ref="M17:O17">_xlfn.XLOOKUP($A17,Model_Output[Product Name], Model_Output[[LTV Protected]:[LTV Protection-Adjusted Risk Ratio]])</f>
        <v>758.48927543660807</v>
      </c>
      <c r="N17" s="45">
        <v>1137.7339131549131</v>
      </c>
      <c r="O17" s="46">
        <v>0.66666666666666607</v>
      </c>
    </row>
    <row r="18" spans="1:15" ht="15.75" x14ac:dyDescent="0.25">
      <c r="A18" s="1" t="str">
        <v>SPF Moisturizer</v>
      </c>
      <c r="B18" s="1" t="str">
        <v>Beauty &amp; Personal Care</v>
      </c>
      <c r="C18" s="27" t="str">
        <f>_xlfn.XLOOKUP($A18,Model_Output[Product Name], Model_Output[Dominant Tier])</f>
        <v>Critical</v>
      </c>
      <c r="D18" s="19">
        <f>_xlfn.XLOOKUP($A18,Model_Output[Product Name], Model_Output[Average Churn Score])</f>
        <v>80.563831352305286</v>
      </c>
      <c r="E18" s="42">
        <f>_xlfn.XLOOKUP($A18,Model_Output[Product Name], Model_Output[Average Projected Churn Rate])</f>
        <v>0.3388387101196903</v>
      </c>
      <c r="F18" s="42" cm="1">
        <f t="array" ref="F18:I18">_xlfn.XLOOKUP($A18,Model_Output[Product Name], Model_Output[[% Critical]:[%Low]])</f>
        <v>0.55555555555555558</v>
      </c>
      <c r="G18" s="42">
        <v>0.44444444444444442</v>
      </c>
      <c r="H18" s="42">
        <v>0</v>
      </c>
      <c r="I18" s="42">
        <v>0</v>
      </c>
      <c r="J18" s="43">
        <f>_xlfn.XLOOKUP($A18,Model_Output[Product Name], Model_Output[Total Buyers])</f>
        <v>9</v>
      </c>
      <c r="K18" s="44" cm="1">
        <f t="array" ref="K18:L18">_xlfn.XLOOKUP($A18,Model_Output[Product Name], Model_Output[[Total Buyer LTV]:[Total LTV at Risk]])</f>
        <v>3506.05</v>
      </c>
      <c r="L18" s="44">
        <v>1125.247970158546</v>
      </c>
      <c r="M18" s="45" cm="1">
        <f t="array" ref="M18:O18">_xlfn.XLOOKUP($A18,Model_Output[Product Name], Model_Output[[LTV Protected]:[LTV Protection-Adjusted Risk Ratio]])</f>
        <v>400.08816716748254</v>
      </c>
      <c r="N18" s="45">
        <v>600.13225075122489</v>
      </c>
      <c r="O18" s="46">
        <v>0.66666666666666552</v>
      </c>
    </row>
    <row r="19" spans="1:15" ht="15.75" x14ac:dyDescent="0.25">
      <c r="A19" s="1" t="str">
        <v>Electric Toothbrush</v>
      </c>
      <c r="B19" s="1" t="str">
        <v>Beauty &amp; Personal Care</v>
      </c>
      <c r="C19" s="27" t="str">
        <f>_xlfn.XLOOKUP($A19,Model_Output[Product Name], Model_Output[Dominant Tier])</f>
        <v>High</v>
      </c>
      <c r="D19" s="19">
        <f>_xlfn.XLOOKUP($A19,Model_Output[Product Name], Model_Output[Average Churn Score])</f>
        <v>53.0620689247408</v>
      </c>
      <c r="E19" s="42">
        <f>_xlfn.XLOOKUP($A19,Model_Output[Product Name], Model_Output[Average Projected Churn Rate])</f>
        <v>0.16331151238540076</v>
      </c>
      <c r="F19" s="42" cm="1">
        <f t="array" ref="F19:I19">_xlfn.XLOOKUP($A19,Model_Output[Product Name], Model_Output[[% Critical]:[%Low]])</f>
        <v>0.2857142857142857</v>
      </c>
      <c r="G19" s="42">
        <v>0.42857142857142855</v>
      </c>
      <c r="H19" s="42">
        <v>0.14285714285714285</v>
      </c>
      <c r="I19" s="42">
        <v>0.14285714285714285</v>
      </c>
      <c r="J19" s="43">
        <f>_xlfn.XLOOKUP($A19,Model_Output[Product Name], Model_Output[Total Buyers])</f>
        <v>7</v>
      </c>
      <c r="K19" s="44" cm="1">
        <f t="array" ref="K19:L19">_xlfn.XLOOKUP($A19,Model_Output[Product Name], Model_Output[[Total Buyer LTV]:[Total LTV at Risk]])</f>
        <v>2495.52</v>
      </c>
      <c r="L19" s="44">
        <v>411.31040074586326</v>
      </c>
      <c r="M19" s="45" cm="1">
        <f t="array" ref="M19:O19">_xlfn.XLOOKUP($A19,Model_Output[Product Name], Model_Output[[LTV Protected]:[LTV Protection-Adjusted Risk Ratio]])</f>
        <v>112.81656706172261</v>
      </c>
      <c r="N19" s="45">
        <v>169.22485059258366</v>
      </c>
      <c r="O19" s="46">
        <v>0.66666666666666763</v>
      </c>
    </row>
    <row r="20" spans="1:15" ht="15.75" x14ac:dyDescent="0.25">
      <c r="A20" s="1" t="str">
        <v>Face Mask Kit</v>
      </c>
      <c r="B20" s="1" t="str">
        <v>Beauty &amp; Personal Care</v>
      </c>
      <c r="C20" s="27" t="str">
        <f>_xlfn.XLOOKUP($A20,Model_Output[Product Name], Model_Output[Dominant Tier])</f>
        <v>Critical</v>
      </c>
      <c r="D20" s="19">
        <f>_xlfn.XLOOKUP($A20,Model_Output[Product Name], Model_Output[Average Churn Score])</f>
        <v>76.59906110590704</v>
      </c>
      <c r="E20" s="42">
        <f>_xlfn.XLOOKUP($A20,Model_Output[Product Name], Model_Output[Average Projected Churn Rate])</f>
        <v>0.24028498434328147</v>
      </c>
      <c r="F20" s="42" cm="1">
        <f t="array" ref="F20:I20">_xlfn.XLOOKUP($A20,Model_Output[Product Name], Model_Output[[% Critical]:[%Low]])</f>
        <v>0.58333333333333337</v>
      </c>
      <c r="G20" s="42">
        <v>0.25</v>
      </c>
      <c r="H20" s="42">
        <v>0.16666666666666666</v>
      </c>
      <c r="I20" s="42">
        <v>0</v>
      </c>
      <c r="J20" s="43">
        <f>_xlfn.XLOOKUP($A20,Model_Output[Product Name], Model_Output[Total Buyers])</f>
        <v>12</v>
      </c>
      <c r="K20" s="44" cm="1">
        <f t="array" ref="K20:L20">_xlfn.XLOOKUP($A20,Model_Output[Product Name], Model_Output[[Total Buyer LTV]:[Total LTV at Risk]])</f>
        <v>6125.9500000000007</v>
      </c>
      <c r="L20" s="44">
        <v>1597.9585464320285</v>
      </c>
      <c r="M20" s="45" cm="1">
        <f t="array" ref="M20:O20">_xlfn.XLOOKUP($A20,Model_Output[Product Name], Model_Output[[LTV Protected]:[LTV Protection-Adjusted Risk Ratio]])</f>
        <v>535.3161130547295</v>
      </c>
      <c r="N20" s="45">
        <v>802.97416958209431</v>
      </c>
      <c r="O20" s="46">
        <v>0.66666666666666663</v>
      </c>
    </row>
    <row r="21" spans="1:15" ht="15.75" x14ac:dyDescent="0.25">
      <c r="A21" s="1" t="str">
        <v>Body Lotion</v>
      </c>
      <c r="B21" s="1" t="str">
        <v>Beauty &amp; Personal Care</v>
      </c>
      <c r="C21" s="27" t="str">
        <f>_xlfn.XLOOKUP($A21,Model_Output[Product Name], Model_Output[Dominant Tier])</f>
        <v>Critical</v>
      </c>
      <c r="D21" s="19">
        <f>_xlfn.XLOOKUP($A21,Model_Output[Product Name], Model_Output[Average Churn Score])</f>
        <v>72.744974229920359</v>
      </c>
      <c r="E21" s="42">
        <f>_xlfn.XLOOKUP($A21,Model_Output[Product Name], Model_Output[Average Projected Churn Rate])</f>
        <v>0.26410651447061861</v>
      </c>
      <c r="F21" s="42" cm="1">
        <f t="array" ref="F21:I21">_xlfn.XLOOKUP($A21,Model_Output[Product Name], Model_Output[[% Critical]:[%Low]])</f>
        <v>0.53846153846153844</v>
      </c>
      <c r="G21" s="42">
        <v>0.30769230769230771</v>
      </c>
      <c r="H21" s="42">
        <v>0.15384615384615385</v>
      </c>
      <c r="I21" s="42">
        <v>0</v>
      </c>
      <c r="J21" s="43">
        <f>_xlfn.XLOOKUP($A21,Model_Output[Product Name], Model_Output[Total Buyers])</f>
        <v>13</v>
      </c>
      <c r="K21" s="44" cm="1">
        <f t="array" ref="K21:L21">_xlfn.XLOOKUP($A21,Model_Output[Product Name], Model_Output[[Total Buyer LTV]:[Total LTV at Risk]])</f>
        <v>6514.2100000000009</v>
      </c>
      <c r="L21" s="44">
        <v>1772.0208758689498</v>
      </c>
      <c r="M21" s="45" cm="1">
        <f t="array" ref="M21:O21">_xlfn.XLOOKUP($A21,Model_Output[Product Name], Model_Output[[LTV Protected]:[LTV Protection-Adjusted Risk Ratio]])</f>
        <v>588.85616798106776</v>
      </c>
      <c r="N21" s="45">
        <v>883.28425197159822</v>
      </c>
      <c r="O21" s="46">
        <v>0.66666666666666929</v>
      </c>
    </row>
    <row r="22" spans="1:15" ht="15.75" x14ac:dyDescent="0.25">
      <c r="A22" s="1" t="str">
        <v>Perfume Roller</v>
      </c>
      <c r="B22" s="1" t="str">
        <v>Beauty &amp; Personal Care</v>
      </c>
      <c r="C22" s="27" t="str">
        <f>_xlfn.XLOOKUP($A22,Model_Output[Product Name], Model_Output[Dominant Tier])</f>
        <v>Critical</v>
      </c>
      <c r="D22" s="19">
        <f>_xlfn.XLOOKUP($A22,Model_Output[Product Name], Model_Output[Average Churn Score])</f>
        <v>71.003027598546765</v>
      </c>
      <c r="E22" s="42">
        <f>_xlfn.XLOOKUP($A22,Model_Output[Product Name], Model_Output[Average Projected Churn Rate])</f>
        <v>0.28584849532758116</v>
      </c>
      <c r="F22" s="42" cm="1">
        <f t="array" ref="F22:I22">_xlfn.XLOOKUP($A22,Model_Output[Product Name], Model_Output[[% Critical]:[%Low]])</f>
        <v>0.54545454545454541</v>
      </c>
      <c r="G22" s="42">
        <v>0.18181818181818182</v>
      </c>
      <c r="H22" s="42">
        <v>0.27272727272727271</v>
      </c>
      <c r="I22" s="42">
        <v>0</v>
      </c>
      <c r="J22" s="43">
        <f>_xlfn.XLOOKUP($A22,Model_Output[Product Name], Model_Output[Total Buyers])</f>
        <v>11</v>
      </c>
      <c r="K22" s="44" cm="1">
        <f t="array" ref="K22:L22">_xlfn.XLOOKUP($A22,Model_Output[Product Name], Model_Output[[Total Buyer LTV]:[Total LTV at Risk]])</f>
        <v>5021.24</v>
      </c>
      <c r="L22" s="44">
        <v>1396.9812800741929</v>
      </c>
      <c r="M22" s="45" cm="1">
        <f t="array" ref="M22:O22">_xlfn.XLOOKUP($A22,Model_Output[Product Name], Model_Output[[LTV Protected]:[LTV Protection-Adjusted Risk Ratio]])</f>
        <v>441.9540776962001</v>
      </c>
      <c r="N22" s="45">
        <v>662.93111654429799</v>
      </c>
      <c r="O22" s="46">
        <v>0.66666666666666885</v>
      </c>
    </row>
    <row r="23" spans="1:15" ht="15.75" x14ac:dyDescent="0.25">
      <c r="A23" s="1" t="str">
        <v>Nail Polish Set</v>
      </c>
      <c r="B23" s="1" t="str">
        <v>Beauty &amp; Personal Care</v>
      </c>
      <c r="C23" s="27" t="str">
        <f>_xlfn.XLOOKUP($A23,Model_Output[Product Name], Model_Output[Dominant Tier])</f>
        <v>High</v>
      </c>
      <c r="D23" s="19">
        <f>_xlfn.XLOOKUP($A23,Model_Output[Product Name], Model_Output[Average Churn Score])</f>
        <v>65.245249219693505</v>
      </c>
      <c r="E23" s="42">
        <f>_xlfn.XLOOKUP($A23,Model_Output[Product Name], Model_Output[Average Projected Churn Rate])</f>
        <v>0.20704190456883856</v>
      </c>
      <c r="F23" s="42" cm="1">
        <f t="array" ref="F23:I23">_xlfn.XLOOKUP($A23,Model_Output[Product Name], Model_Output[[% Critical]:[%Low]])</f>
        <v>0.36363636363636365</v>
      </c>
      <c r="G23" s="42">
        <v>0.45454545454545453</v>
      </c>
      <c r="H23" s="42">
        <v>9.0909090909090912E-2</v>
      </c>
      <c r="I23" s="42">
        <v>9.0909090909090912E-2</v>
      </c>
      <c r="J23" s="43">
        <f>_xlfn.XLOOKUP($A23,Model_Output[Product Name], Model_Output[Total Buyers])</f>
        <v>11</v>
      </c>
      <c r="K23" s="44" cm="1">
        <f t="array" ref="K23:L23">_xlfn.XLOOKUP($A23,Model_Output[Product Name], Model_Output[[Total Buyer LTV]:[Total LTV at Risk]])</f>
        <v>9090.1999999999989</v>
      </c>
      <c r="L23" s="44">
        <v>1631.9228817867202</v>
      </c>
      <c r="M23" s="45" cm="1">
        <f t="array" ref="M23:O23">_xlfn.XLOOKUP($A23,Model_Output[Product Name], Model_Output[[LTV Protected]:[LTV Protection-Adjusted Risk Ratio]])</f>
        <v>492.54399704835561</v>
      </c>
      <c r="N23" s="45">
        <v>738.81599557253344</v>
      </c>
      <c r="O23" s="46">
        <v>0.66666666666666663</v>
      </c>
    </row>
    <row r="24" spans="1:15" ht="15.75" x14ac:dyDescent="0.25">
      <c r="A24" s="1" t="str">
        <v>Jump Rope</v>
      </c>
      <c r="B24" s="1" t="str">
        <v>Sports &amp; Outdoors</v>
      </c>
      <c r="C24" s="27" t="str">
        <f>_xlfn.XLOOKUP($A24,Model_Output[Product Name], Model_Output[Dominant Tier])</f>
        <v>Critical</v>
      </c>
      <c r="D24" s="19">
        <f>_xlfn.XLOOKUP($A24,Model_Output[Product Name], Model_Output[Average Churn Score])</f>
        <v>65.562929794400333</v>
      </c>
      <c r="E24" s="42">
        <f>_xlfn.XLOOKUP($A24,Model_Output[Product Name], Model_Output[Average Projected Churn Rate])</f>
        <v>0.2152790454358077</v>
      </c>
      <c r="F24" s="42" cm="1">
        <f t="array" ref="F24:I24">_xlfn.XLOOKUP($A24,Model_Output[Product Name], Model_Output[[% Critical]:[%Low]])</f>
        <v>0.4375</v>
      </c>
      <c r="G24" s="42">
        <v>0.25</v>
      </c>
      <c r="H24" s="42">
        <v>0.3125</v>
      </c>
      <c r="I24" s="42">
        <v>0</v>
      </c>
      <c r="J24" s="43">
        <f>_xlfn.XLOOKUP($A24,Model_Output[Product Name], Model_Output[Total Buyers])</f>
        <v>16</v>
      </c>
      <c r="K24" s="44" cm="1">
        <f t="array" ref="K24:L24">_xlfn.XLOOKUP($A24,Model_Output[Product Name], Model_Output[[Total Buyer LTV]:[Total LTV at Risk]])</f>
        <v>10177.91</v>
      </c>
      <c r="L24" s="44">
        <v>2590.186588054918</v>
      </c>
      <c r="M24" s="45" cm="1">
        <f t="array" ref="M24:O24">_xlfn.XLOOKUP($A24,Model_Output[Product Name], Model_Output[[LTV Protected]:[LTV Protection-Adjusted Risk Ratio]])</f>
        <v>777.05597641647591</v>
      </c>
      <c r="N24" s="45">
        <v>1165.5839646247127</v>
      </c>
      <c r="O24" s="46">
        <v>0.6666666666666673</v>
      </c>
    </row>
    <row r="25" spans="1:15" ht="15.75" x14ac:dyDescent="0.25">
      <c r="A25" s="1" t="str">
        <v>Foam Roller</v>
      </c>
      <c r="B25" s="1" t="str">
        <v>Sports &amp; Outdoors</v>
      </c>
      <c r="C25" s="27" t="str">
        <f>_xlfn.XLOOKUP($A25,Model_Output[Product Name], Model_Output[Dominant Tier])</f>
        <v>Critical</v>
      </c>
      <c r="D25" s="19">
        <f>_xlfn.XLOOKUP($A25,Model_Output[Product Name], Model_Output[Average Churn Score])</f>
        <v>81.451112944606564</v>
      </c>
      <c r="E25" s="42">
        <f>_xlfn.XLOOKUP($A25,Model_Output[Product Name], Model_Output[Average Projected Churn Rate])</f>
        <v>0.32460947572594412</v>
      </c>
      <c r="F25" s="42" cm="1">
        <f t="array" ref="F25:I25">_xlfn.XLOOKUP($A25,Model_Output[Product Name], Model_Output[[% Critical]:[%Low]])</f>
        <v>0.7</v>
      </c>
      <c r="G25" s="42">
        <v>0.2</v>
      </c>
      <c r="H25" s="42">
        <v>0.1</v>
      </c>
      <c r="I25" s="42">
        <v>0</v>
      </c>
      <c r="J25" s="43">
        <f>_xlfn.XLOOKUP($A25,Model_Output[Product Name], Model_Output[Total Buyers])</f>
        <v>10</v>
      </c>
      <c r="K25" s="44" cm="1">
        <f t="array" ref="K25:L25">_xlfn.XLOOKUP($A25,Model_Output[Product Name], Model_Output[[Total Buyer LTV]:[Total LTV at Risk]])</f>
        <v>5163.41</v>
      </c>
      <c r="L25" s="44">
        <v>1457.9708511723543</v>
      </c>
      <c r="M25" s="45" cm="1">
        <f t="array" ref="M25:O25">_xlfn.XLOOKUP($A25,Model_Output[Product Name], Model_Output[[LTV Protected]:[LTV Protection-Adjusted Risk Ratio]])</f>
        <v>519.03762301735776</v>
      </c>
      <c r="N25" s="45">
        <v>778.55643452603761</v>
      </c>
      <c r="O25" s="46">
        <v>0.66666666666666585</v>
      </c>
    </row>
    <row r="26" spans="1:15" ht="15.75" x14ac:dyDescent="0.25">
      <c r="A26" s="1" t="str">
        <v>Gym Bag</v>
      </c>
      <c r="B26" s="1" t="str">
        <v>Sports &amp; Outdoors</v>
      </c>
      <c r="C26" s="27" t="str">
        <f>_xlfn.XLOOKUP($A26,Model_Output[Product Name], Model_Output[Dominant Tier])</f>
        <v>Critical</v>
      </c>
      <c r="D26" s="19">
        <f>_xlfn.XLOOKUP($A26,Model_Output[Product Name], Model_Output[Average Churn Score])</f>
        <v>68.052230319607702</v>
      </c>
      <c r="E26" s="42">
        <f>_xlfn.XLOOKUP($A26,Model_Output[Product Name], Model_Output[Average Projected Churn Rate])</f>
        <v>0.253274531094973</v>
      </c>
      <c r="F26" s="42" cm="1">
        <f t="array" ref="F26:I26">_xlfn.XLOOKUP($A26,Model_Output[Product Name], Model_Output[[% Critical]:[%Low]])</f>
        <v>0.5</v>
      </c>
      <c r="G26" s="42">
        <v>0.21428571428571427</v>
      </c>
      <c r="H26" s="42">
        <v>0.14285714285714285</v>
      </c>
      <c r="I26" s="42">
        <v>0.14285714285714285</v>
      </c>
      <c r="J26" s="43">
        <f>_xlfn.XLOOKUP($A26,Model_Output[Product Name], Model_Output[Total Buyers])</f>
        <v>14</v>
      </c>
      <c r="K26" s="44" cm="1">
        <f t="array" ref="K26:L26">_xlfn.XLOOKUP($A26,Model_Output[Product Name], Model_Output[[Total Buyer LTV]:[Total LTV at Risk]])</f>
        <v>8998.91</v>
      </c>
      <c r="L26" s="44">
        <v>1862.6932397664843</v>
      </c>
      <c r="M26" s="45" cm="1">
        <f t="array" ref="M26:O26">_xlfn.XLOOKUP($A26,Model_Output[Product Name], Model_Output[[LTV Protected]:[LTV Protection-Adjusted Risk Ratio]])</f>
        <v>550.82500090237477</v>
      </c>
      <c r="N26" s="45">
        <v>826.23750135356204</v>
      </c>
      <c r="O26" s="46">
        <v>0.66666666666666674</v>
      </c>
    </row>
    <row r="27" spans="1:15" ht="15.75" x14ac:dyDescent="0.25">
      <c r="A27" s="1" t="str">
        <v>Protein Shaker</v>
      </c>
      <c r="B27" s="1" t="str">
        <v>Sports &amp; Outdoors</v>
      </c>
      <c r="C27" s="27" t="str">
        <f>_xlfn.XLOOKUP($A27,Model_Output[Product Name], Model_Output[Dominant Tier])</f>
        <v>High</v>
      </c>
      <c r="D27" s="19">
        <f>_xlfn.XLOOKUP($A27,Model_Output[Product Name], Model_Output[Average Churn Score])</f>
        <v>62.632749766373735</v>
      </c>
      <c r="E27" s="42">
        <f>_xlfn.XLOOKUP($A27,Model_Output[Product Name], Model_Output[Average Projected Churn Rate])</f>
        <v>0.23171703319019915</v>
      </c>
      <c r="F27" s="42" cm="1">
        <f t="array" ref="F27:I27">_xlfn.XLOOKUP($A27,Model_Output[Product Name], Model_Output[[% Critical]:[%Low]])</f>
        <v>0.30769230769230771</v>
      </c>
      <c r="G27" s="42">
        <v>0.53846153846153844</v>
      </c>
      <c r="H27" s="42">
        <v>0.15384615384615385</v>
      </c>
      <c r="I27" s="42">
        <v>0</v>
      </c>
      <c r="J27" s="43">
        <f>_xlfn.XLOOKUP($A27,Model_Output[Product Name], Model_Output[Total Buyers])</f>
        <v>13</v>
      </c>
      <c r="K27" s="44" cm="1">
        <f t="array" ref="K27:L27">_xlfn.XLOOKUP($A27,Model_Output[Product Name], Model_Output[[Total Buyer LTV]:[Total LTV at Risk]])</f>
        <v>6043.7700000000013</v>
      </c>
      <c r="L27" s="44">
        <v>1533.9834111929088</v>
      </c>
      <c r="M27" s="45" cm="1">
        <f t="array" ref="M27:O27">_xlfn.XLOOKUP($A27,Model_Output[Product Name], Model_Output[[LTV Protected]:[LTV Protection-Adjusted Risk Ratio]])</f>
        <v>474.35487023042327</v>
      </c>
      <c r="N27" s="45">
        <v>711.53230534563318</v>
      </c>
      <c r="O27" s="46">
        <v>0.66666666666666829</v>
      </c>
    </row>
    <row r="28" spans="1:15" ht="15.75" x14ac:dyDescent="0.25">
      <c r="A28" s="20" t="s">
        <v>78</v>
      </c>
      <c r="B28" s="20"/>
      <c r="C28" s="20"/>
      <c r="D28" s="24">
        <f>AVERAGE($D$4:$D$27)</f>
        <v>70.599508368197405</v>
      </c>
      <c r="E28" s="23">
        <f>AVERAGE($E$4:$E$27)</f>
        <v>0.26524812623923866</v>
      </c>
      <c r="F28" s="23"/>
      <c r="G28" s="22"/>
      <c r="H28" s="23"/>
      <c r="I28" s="23"/>
      <c r="J28" s="22">
        <f>SUM($J$4:$J$27)</f>
        <v>280</v>
      </c>
      <c r="K28" s="22">
        <f>SUM(K$4:K$27)</f>
        <v>146514</v>
      </c>
      <c r="L28" s="22">
        <f t="shared" ref="L28:N28" si="0">SUM(L$4:L$27)</f>
        <v>36380.520747037706</v>
      </c>
      <c r="M28" s="22">
        <f t="shared" si="0"/>
        <v>11671.306382220047</v>
      </c>
      <c r="N28" s="22">
        <f t="shared" si="0"/>
        <v>17442.248789494719</v>
      </c>
      <c r="O28" s="23">
        <f>AVERAGE($O$4:$O$27)</f>
        <v>0.66906130268199304</v>
      </c>
    </row>
  </sheetData>
  <conditionalFormatting sqref="A4:B27">
    <cfRule type="expression" dxfId="5" priority="2">
      <formula>MOD(ROW(),2)=1</formula>
    </cfRule>
  </conditionalFormatting>
  <conditionalFormatting sqref="C4:C27">
    <cfRule type="cellIs" dxfId="4" priority="6" operator="equal">
      <formula>"High"</formula>
    </cfRule>
    <cfRule type="cellIs" dxfId="3" priority="7" operator="equal">
      <formula>"Critical"</formula>
    </cfRule>
  </conditionalFormatting>
  <conditionalFormatting sqref="D4:D27">
    <cfRule type="cellIs" dxfId="2" priority="3" operator="greaterThan">
      <formula>75</formula>
    </cfRule>
    <cfRule type="cellIs" dxfId="1" priority="4" operator="greaterThan">
      <formula>50</formula>
    </cfRule>
    <cfRule type="cellIs" dxfId="0" priority="5" operator="lessThan">
      <formula>50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CA75E-DB61-4A05-9760-CF84961FF165}">
  <sheetPr>
    <tabColor rgb="FFC00000"/>
  </sheetPr>
  <dimension ref="A1:AT25"/>
  <sheetViews>
    <sheetView workbookViewId="0"/>
  </sheetViews>
  <sheetFormatPr defaultRowHeight="15" x14ac:dyDescent="0.25"/>
  <cols>
    <col min="2" max="2" width="20.140625" bestFit="1" customWidth="1"/>
    <col min="3" max="3" width="22" bestFit="1" customWidth="1"/>
    <col min="4" max="4" width="19.140625" bestFit="1" customWidth="1"/>
    <col min="5" max="5" width="14.85546875" bestFit="1" customWidth="1"/>
    <col min="6" max="6" width="22.28515625" bestFit="1" customWidth="1"/>
    <col min="7" max="7" width="17.5703125" bestFit="1" customWidth="1"/>
    <col min="8" max="8" width="24.140625" bestFit="1" customWidth="1"/>
    <col min="9" max="9" width="15.5703125" bestFit="1" customWidth="1"/>
    <col min="10" max="10" width="21.140625" bestFit="1" customWidth="1"/>
    <col min="11" max="11" width="30.140625" bestFit="1" customWidth="1"/>
    <col min="12" max="12" width="20.28515625" bestFit="1" customWidth="1"/>
    <col min="13" max="13" width="17" bestFit="1" customWidth="1"/>
    <col min="14" max="14" width="17.5703125" bestFit="1" customWidth="1"/>
    <col min="15" max="15" width="26.140625" bestFit="1" customWidth="1"/>
    <col min="16" max="16" width="24.7109375" bestFit="1" customWidth="1"/>
    <col min="17" max="17" width="14.140625" bestFit="1" customWidth="1"/>
    <col min="18" max="18" width="21.85546875" bestFit="1" customWidth="1"/>
    <col min="19" max="19" width="30.28515625" bestFit="1" customWidth="1"/>
    <col min="20" max="20" width="17" bestFit="1" customWidth="1"/>
    <col min="21" max="21" width="17.5703125" bestFit="1" customWidth="1"/>
    <col min="22" max="23" width="12" bestFit="1" customWidth="1"/>
    <col min="24" max="24" width="12.85546875" bestFit="1" customWidth="1"/>
    <col min="25" max="25" width="12" bestFit="1" customWidth="1"/>
    <col min="26" max="26" width="16" bestFit="1" customWidth="1"/>
    <col min="27" max="27" width="16.28515625" bestFit="1" customWidth="1"/>
    <col min="28" max="28" width="22.85546875" bestFit="1" customWidth="1"/>
    <col min="29" max="29" width="23.42578125" bestFit="1" customWidth="1"/>
    <col min="30" max="30" width="28.28515625" bestFit="1" customWidth="1"/>
    <col min="31" max="31" width="18.85546875" bestFit="1" customWidth="1"/>
    <col min="32" max="32" width="34.7109375" bestFit="1" customWidth="1"/>
    <col min="33" max="33" width="32.140625" bestFit="1" customWidth="1"/>
    <col min="34" max="34" width="28.85546875" bestFit="1" customWidth="1"/>
    <col min="35" max="35" width="16.85546875" bestFit="1" customWidth="1"/>
    <col min="36" max="36" width="23.42578125" bestFit="1" customWidth="1"/>
    <col min="37" max="37" width="20.28515625" bestFit="1" customWidth="1"/>
    <col min="38" max="38" width="22.42578125" bestFit="1" customWidth="1"/>
    <col min="39" max="39" width="31.140625" bestFit="1" customWidth="1"/>
    <col min="40" max="40" width="28.5703125" bestFit="1" customWidth="1"/>
    <col min="41" max="41" width="32.140625" bestFit="1" customWidth="1"/>
    <col min="42" max="42" width="36.42578125" bestFit="1" customWidth="1"/>
    <col min="43" max="43" width="33.42578125" bestFit="1" customWidth="1"/>
    <col min="44" max="44" width="15.7109375" bestFit="1" customWidth="1"/>
    <col min="45" max="45" width="15.5703125" bestFit="1" customWidth="1"/>
    <col min="46" max="46" width="34.5703125" bestFit="1" customWidth="1"/>
    <col min="47" max="47" width="11.140625" bestFit="1" customWidth="1"/>
    <col min="48" max="48" width="20.140625" bestFit="1" customWidth="1"/>
    <col min="49" max="49" width="22" bestFit="1" customWidth="1"/>
    <col min="50" max="50" width="16.85546875" bestFit="1" customWidth="1"/>
    <col min="51" max="51" width="12.5703125" bestFit="1" customWidth="1"/>
    <col min="52" max="52" width="19.85546875" bestFit="1" customWidth="1"/>
    <col min="53" max="53" width="15.28515625" bestFit="1" customWidth="1"/>
    <col min="54" max="54" width="21.7109375" bestFit="1" customWidth="1"/>
    <col min="55" max="55" width="13.140625" bestFit="1" customWidth="1"/>
    <col min="56" max="56" width="18.7109375" bestFit="1" customWidth="1"/>
    <col min="57" max="57" width="27.5703125" bestFit="1" customWidth="1"/>
    <col min="58" max="58" width="18" bestFit="1" customWidth="1"/>
    <col min="59" max="59" width="14.7109375" bestFit="1" customWidth="1"/>
    <col min="60" max="60" width="15.28515625" bestFit="1" customWidth="1"/>
    <col min="61" max="61" width="23.7109375" bestFit="1" customWidth="1"/>
    <col min="62" max="62" width="22.28515625" bestFit="1" customWidth="1"/>
    <col min="63" max="63" width="12.140625" bestFit="1" customWidth="1"/>
    <col min="64" max="64" width="19.5703125" bestFit="1" customWidth="1"/>
    <col min="65" max="65" width="28" bestFit="1" customWidth="1"/>
    <col min="66" max="66" width="14.7109375" bestFit="1" customWidth="1"/>
    <col min="67" max="67" width="15.28515625" bestFit="1" customWidth="1"/>
    <col min="68" max="71" width="12.140625" bestFit="1" customWidth="1"/>
    <col min="72" max="72" width="13.7109375" bestFit="1" customWidth="1"/>
    <col min="73" max="73" width="14" bestFit="1" customWidth="1"/>
    <col min="74" max="74" width="20.5703125" bestFit="1" customWidth="1"/>
    <col min="75" max="75" width="21.140625" bestFit="1" customWidth="1"/>
    <col min="76" max="76" width="26" bestFit="1" customWidth="1"/>
    <col min="77" max="77" width="16.5703125" bestFit="1" customWidth="1"/>
    <col min="78" max="78" width="32.28515625" bestFit="1" customWidth="1"/>
    <col min="79" max="79" width="29.7109375" bestFit="1" customWidth="1"/>
    <col min="80" max="80" width="26.42578125" bestFit="1" customWidth="1"/>
    <col min="81" max="81" width="14.42578125" bestFit="1" customWidth="1"/>
    <col min="82" max="82" width="21" bestFit="1" customWidth="1"/>
    <col min="83" max="83" width="17.85546875" bestFit="1" customWidth="1"/>
    <col min="84" max="84" width="20" bestFit="1" customWidth="1"/>
    <col min="85" max="85" width="28.7109375" bestFit="1" customWidth="1"/>
    <col min="86" max="86" width="26.140625" bestFit="1" customWidth="1"/>
    <col min="87" max="87" width="29.42578125" bestFit="1" customWidth="1"/>
    <col min="88" max="88" width="33.85546875" bestFit="1" customWidth="1"/>
    <col min="89" max="89" width="30.85546875" bestFit="1" customWidth="1"/>
    <col min="90" max="90" width="13.42578125" bestFit="1" customWidth="1"/>
    <col min="91" max="91" width="13.28515625" bestFit="1" customWidth="1"/>
    <col min="92" max="92" width="32.28515625" bestFit="1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121</v>
      </c>
    </row>
    <row r="2" spans="1:46" x14ac:dyDescent="0.25">
      <c r="A2" t="s">
        <v>112</v>
      </c>
      <c r="B2" t="s">
        <v>122</v>
      </c>
      <c r="C2" t="s">
        <v>97</v>
      </c>
      <c r="D2" t="s">
        <v>48</v>
      </c>
      <c r="E2">
        <v>76.53</v>
      </c>
      <c r="F2">
        <v>52.96</v>
      </c>
      <c r="G2">
        <v>24</v>
      </c>
      <c r="H2">
        <v>1836.72</v>
      </c>
      <c r="I2">
        <v>1271.04</v>
      </c>
      <c r="J2">
        <v>565.68000000000006</v>
      </c>
      <c r="K2">
        <v>0.307983797203711</v>
      </c>
      <c r="L2">
        <v>80.606322838637126</v>
      </c>
      <c r="M2">
        <v>4.0763228386371253</v>
      </c>
      <c r="N2">
        <v>5.3264377873214752E-2</v>
      </c>
      <c r="O2">
        <v>17.225425288654151</v>
      </c>
      <c r="P2">
        <v>70.185425288654415</v>
      </c>
      <c r="Q2">
        <v>10</v>
      </c>
      <c r="R2">
        <v>70.50526195103842</v>
      </c>
      <c r="S2">
        <v>0.31812470081886585</v>
      </c>
      <c r="T2">
        <v>3841.99</v>
      </c>
      <c r="U2">
        <v>1112.0931944026663</v>
      </c>
      <c r="V2">
        <v>0.5</v>
      </c>
      <c r="W2">
        <v>0.3</v>
      </c>
      <c r="X2">
        <v>0.2</v>
      </c>
      <c r="Y2">
        <v>0</v>
      </c>
      <c r="Z2" t="s">
        <v>53</v>
      </c>
      <c r="AA2">
        <v>78.975793703182276</v>
      </c>
      <c r="AB2">
        <v>2.4457937031822752</v>
      </c>
      <c r="AC2">
        <v>3.1958626723928851E-2</v>
      </c>
      <c r="AD2">
        <v>-1.2783450689571541E-2</v>
      </c>
      <c r="AE2">
        <v>24.012783450689572</v>
      </c>
      <c r="AF2">
        <v>1871.189052928989</v>
      </c>
      <c r="AG2">
        <v>34.469052928988958</v>
      </c>
      <c r="AH2">
        <v>1.8766634505525587E-2</v>
      </c>
      <c r="AI2">
        <v>1271.7170115485196</v>
      </c>
      <c r="AJ2">
        <v>0.67701154851965839</v>
      </c>
      <c r="AK2">
        <v>5.3264377873210784E-4</v>
      </c>
      <c r="AL2">
        <v>616.39733009346196</v>
      </c>
      <c r="AM2">
        <v>50.717330093461896</v>
      </c>
      <c r="AN2">
        <v>8.9657279899345729E-2</v>
      </c>
      <c r="AO2">
        <v>0.32941477993824819</v>
      </c>
      <c r="AP2">
        <v>2.1430982734537196E-2</v>
      </c>
      <c r="AQ2">
        <v>2.1430982734537196E-2</v>
      </c>
      <c r="AR2">
        <v>358.09400859765856</v>
      </c>
      <c r="AS2">
        <v>537.14101289648772</v>
      </c>
      <c r="AT2">
        <v>0.66666666666666685</v>
      </c>
    </row>
    <row r="3" spans="1:46" x14ac:dyDescent="0.25">
      <c r="A3" t="s">
        <v>113</v>
      </c>
      <c r="B3" t="s">
        <v>123</v>
      </c>
      <c r="C3" t="s">
        <v>97</v>
      </c>
      <c r="D3" t="s">
        <v>48</v>
      </c>
      <c r="E3">
        <v>53.26</v>
      </c>
      <c r="F3">
        <v>36.64</v>
      </c>
      <c r="G3">
        <v>21</v>
      </c>
      <c r="H3">
        <v>1118.46</v>
      </c>
      <c r="I3">
        <v>769.44</v>
      </c>
      <c r="J3">
        <v>349.02</v>
      </c>
      <c r="K3">
        <v>0.31205407435223431</v>
      </c>
      <c r="L3">
        <v>57.563991794204242</v>
      </c>
      <c r="M3">
        <v>4.3039917942042436</v>
      </c>
      <c r="N3">
        <v>8.081096121299744E-2</v>
      </c>
      <c r="O3">
        <v>32.819835884084796</v>
      </c>
      <c r="P3">
        <v>69.459835884084782</v>
      </c>
      <c r="Q3">
        <v>9</v>
      </c>
      <c r="R3">
        <v>66.806056245059409</v>
      </c>
      <c r="S3">
        <v>0.26336464749445365</v>
      </c>
      <c r="T3">
        <v>5045.9799999999996</v>
      </c>
      <c r="U3">
        <v>1487.0300026323653</v>
      </c>
      <c r="V3">
        <v>0.33333333333333331</v>
      </c>
      <c r="W3">
        <v>0.44444444444444442</v>
      </c>
      <c r="X3">
        <v>0.22222222222222221</v>
      </c>
      <c r="Y3">
        <v>0</v>
      </c>
      <c r="Z3" t="s">
        <v>49</v>
      </c>
      <c r="AA3">
        <v>55.842395076522543</v>
      </c>
      <c r="AB3">
        <v>2.5823950765225447</v>
      </c>
      <c r="AC3">
        <v>4.8486576727798436E-2</v>
      </c>
      <c r="AD3">
        <v>-1.9394630691119377E-2</v>
      </c>
      <c r="AE3">
        <v>21.019394630691121</v>
      </c>
      <c r="AF3">
        <v>1149.946401389222</v>
      </c>
      <c r="AG3">
        <v>31.48640138922201</v>
      </c>
      <c r="AH3">
        <v>2.8151566787566841E-2</v>
      </c>
      <c r="AI3">
        <v>1113.1871396414017</v>
      </c>
      <c r="AJ3">
        <v>343.74713964140165</v>
      </c>
      <c r="AK3">
        <v>0.44674976559757956</v>
      </c>
      <c r="AL3">
        <v>395.42940602819681</v>
      </c>
      <c r="AM3">
        <v>46.409406028196827</v>
      </c>
      <c r="AN3">
        <v>0.1329706206755969</v>
      </c>
      <c r="AO3">
        <v>0.34386768422466318</v>
      </c>
      <c r="AP3">
        <v>3.1813609872428872E-2</v>
      </c>
      <c r="AQ3">
        <v>3.1813609872428872E-2</v>
      </c>
      <c r="AR3">
        <v>449.41351190667075</v>
      </c>
      <c r="AS3">
        <v>674.12026786000524</v>
      </c>
      <c r="AT3">
        <v>0.66666666666666752</v>
      </c>
    </row>
    <row r="4" spans="1:46" x14ac:dyDescent="0.25">
      <c r="A4" t="s">
        <v>95</v>
      </c>
      <c r="B4" t="s">
        <v>96</v>
      </c>
      <c r="C4" t="s">
        <v>97</v>
      </c>
      <c r="D4" t="s">
        <v>56</v>
      </c>
      <c r="E4">
        <v>18.39</v>
      </c>
      <c r="F4">
        <v>8.26</v>
      </c>
      <c r="G4">
        <v>17</v>
      </c>
      <c r="H4">
        <v>312.63</v>
      </c>
      <c r="I4">
        <v>140.41999999999999</v>
      </c>
      <c r="J4">
        <v>172.21</v>
      </c>
      <c r="K4">
        <v>0.55084284937466022</v>
      </c>
      <c r="L4">
        <v>20.325621653116809</v>
      </c>
      <c r="M4">
        <v>1.935621653116808</v>
      </c>
      <c r="N4">
        <v>0.10525403225213746</v>
      </c>
      <c r="O4">
        <v>12.579946449868942</v>
      </c>
      <c r="P4">
        <v>20.839946449868961</v>
      </c>
      <c r="Q4">
        <v>9</v>
      </c>
      <c r="R4">
        <v>68.467576729791105</v>
      </c>
      <c r="S4">
        <v>0.25195320163668511</v>
      </c>
      <c r="T4">
        <v>6058.7500000000009</v>
      </c>
      <c r="U4">
        <v>1216.0706729565338</v>
      </c>
      <c r="V4">
        <v>0.55555555555555558</v>
      </c>
      <c r="W4">
        <v>0.1111111111111111</v>
      </c>
      <c r="X4">
        <v>0.33333333333333331</v>
      </c>
      <c r="Y4">
        <v>0</v>
      </c>
      <c r="Z4" t="s">
        <v>53</v>
      </c>
      <c r="AA4">
        <v>19.551372991870085</v>
      </c>
      <c r="AB4">
        <v>1.1613729918700848</v>
      </c>
      <c r="AC4">
        <v>6.3152419351282477E-2</v>
      </c>
      <c r="AD4">
        <v>-2.5260967740512993E-2</v>
      </c>
      <c r="AE4">
        <v>17.025260967740515</v>
      </c>
      <c r="AF4">
        <v>323.97726862047523</v>
      </c>
      <c r="AG4">
        <v>11.347268620475234</v>
      </c>
      <c r="AH4">
        <v>3.62961603828015E-2</v>
      </c>
      <c r="AI4">
        <v>901.65782085153762</v>
      </c>
      <c r="AJ4">
        <v>761.23782085153766</v>
      </c>
      <c r="AK4">
        <v>5.4211495574101818</v>
      </c>
      <c r="AL4">
        <v>187.10441371059807</v>
      </c>
      <c r="AM4">
        <v>14.894413710598059</v>
      </c>
      <c r="AN4">
        <v>8.6489830501121065E-2</v>
      </c>
      <c r="AO4">
        <v>0.57752327657834057</v>
      </c>
      <c r="AP4">
        <v>2.6680427203680357E-2</v>
      </c>
      <c r="AQ4">
        <v>2.6680427203680357E-2</v>
      </c>
      <c r="AR4">
        <v>375.63071897990716</v>
      </c>
      <c r="AS4">
        <v>563.44607846986059</v>
      </c>
      <c r="AT4">
        <v>0.66666666666666685</v>
      </c>
    </row>
    <row r="5" spans="1:46" x14ac:dyDescent="0.25">
      <c r="A5" t="s">
        <v>98</v>
      </c>
      <c r="B5" t="s">
        <v>99</v>
      </c>
      <c r="C5" t="s">
        <v>97</v>
      </c>
      <c r="D5" t="s">
        <v>56</v>
      </c>
      <c r="E5">
        <v>113.18</v>
      </c>
      <c r="F5">
        <v>39.01</v>
      </c>
      <c r="G5">
        <v>24</v>
      </c>
      <c r="H5">
        <v>2716.32</v>
      </c>
      <c r="I5">
        <v>936.24</v>
      </c>
      <c r="J5">
        <v>1780.0800000000002</v>
      </c>
      <c r="K5">
        <v>0.65532779643046479</v>
      </c>
      <c r="L5">
        <v>122.07351223831479</v>
      </c>
      <c r="M5">
        <v>8.8935122383147842</v>
      </c>
      <c r="N5">
        <v>7.8578478868305213E-2</v>
      </c>
      <c r="O5">
        <v>91.370781481239646</v>
      </c>
      <c r="P5">
        <v>130.38078148123941</v>
      </c>
      <c r="Q5">
        <v>10</v>
      </c>
      <c r="R5">
        <v>63.379342377199613</v>
      </c>
      <c r="S5">
        <v>0.19532650064710491</v>
      </c>
      <c r="T5">
        <v>8331.7199999999993</v>
      </c>
      <c r="U5">
        <v>1378.1368137193899</v>
      </c>
      <c r="V5">
        <v>0.4</v>
      </c>
      <c r="W5">
        <v>0.3</v>
      </c>
      <c r="X5">
        <v>0.2</v>
      </c>
      <c r="Y5">
        <v>0.1</v>
      </c>
      <c r="Z5" t="s">
        <v>53</v>
      </c>
      <c r="AA5">
        <v>118.51610734298887</v>
      </c>
      <c r="AB5">
        <v>5.3361073429888677</v>
      </c>
      <c r="AC5">
        <v>4.7147087320983098E-2</v>
      </c>
      <c r="AD5">
        <v>-1.8858834928393242E-2</v>
      </c>
      <c r="AE5">
        <v>24.018858834928395</v>
      </c>
      <c r="AF5">
        <v>2790.7447593180414</v>
      </c>
      <c r="AG5">
        <v>74.424759318041197</v>
      </c>
      <c r="AH5">
        <v>2.7399113255448988E-2</v>
      </c>
      <c r="AI5">
        <v>1272.0387638978077</v>
      </c>
      <c r="AJ5">
        <v>335.7987638978077</v>
      </c>
      <c r="AK5">
        <v>0.35866739713941692</v>
      </c>
      <c r="AL5">
        <v>1872.1611549314002</v>
      </c>
      <c r="AM5">
        <v>92.081154931400079</v>
      </c>
      <c r="AN5">
        <v>5.1728661032874969E-2</v>
      </c>
      <c r="AO5">
        <v>0.6708464286031266</v>
      </c>
      <c r="AP5">
        <v>1.5518632172661806E-2</v>
      </c>
      <c r="AQ5">
        <v>1.5518632172661806E-2</v>
      </c>
      <c r="AR5">
        <v>396.9034023511847</v>
      </c>
      <c r="AS5">
        <v>595.35510352677613</v>
      </c>
      <c r="AT5">
        <v>0.66666666666666774</v>
      </c>
    </row>
    <row r="6" spans="1:46" x14ac:dyDescent="0.25">
      <c r="A6" t="s">
        <v>100</v>
      </c>
      <c r="B6" t="s">
        <v>101</v>
      </c>
      <c r="C6" t="s">
        <v>97</v>
      </c>
      <c r="D6" t="s">
        <v>48</v>
      </c>
      <c r="E6">
        <v>177.91</v>
      </c>
      <c r="F6">
        <v>73.489999999999995</v>
      </c>
      <c r="G6">
        <v>36</v>
      </c>
      <c r="H6">
        <v>6404.76</v>
      </c>
      <c r="I6">
        <v>2645.64</v>
      </c>
      <c r="J6">
        <v>3759.1200000000003</v>
      </c>
      <c r="K6">
        <v>0.58692597380698108</v>
      </c>
      <c r="L6">
        <v>210.36242056011631</v>
      </c>
      <c r="M6">
        <v>32.452420560116309</v>
      </c>
      <c r="N6">
        <v>0.18240919880904002</v>
      </c>
      <c r="O6">
        <v>2118.3198784838378</v>
      </c>
      <c r="P6">
        <v>2338.7898784838376</v>
      </c>
      <c r="Q6">
        <v>12</v>
      </c>
      <c r="R6">
        <v>72.583715875473729</v>
      </c>
      <c r="S6">
        <v>0.24760819868499095</v>
      </c>
      <c r="T6">
        <v>9553.98</v>
      </c>
      <c r="U6">
        <v>1987.17375700722</v>
      </c>
      <c r="V6">
        <v>0.58333333333333337</v>
      </c>
      <c r="W6">
        <v>0.33333333333333331</v>
      </c>
      <c r="X6">
        <v>8.3333333333333329E-2</v>
      </c>
      <c r="Y6">
        <v>0</v>
      </c>
      <c r="Z6" t="s">
        <v>53</v>
      </c>
      <c r="AA6">
        <v>197.38145233606977</v>
      </c>
      <c r="AB6">
        <v>19.471452336069774</v>
      </c>
      <c r="AC6">
        <v>0.10944551928542395</v>
      </c>
      <c r="AD6">
        <v>-4.3778207714169584E-2</v>
      </c>
      <c r="AE6">
        <v>36.043778207714169</v>
      </c>
      <c r="AF6">
        <v>6794.6560602039663</v>
      </c>
      <c r="AG6">
        <v>389.89606020396604</v>
      </c>
      <c r="AH6">
        <v>6.087598289459184E-2</v>
      </c>
      <c r="AI6">
        <v>1908.8784938805425</v>
      </c>
      <c r="AJ6">
        <v>-736.76150611945741</v>
      </c>
      <c r="AK6">
        <v>-0.27848139055935706</v>
      </c>
      <c r="AL6">
        <v>4264.8374376608826</v>
      </c>
      <c r="AM6">
        <v>505.7174376608823</v>
      </c>
      <c r="AN6">
        <v>0.13453080445978907</v>
      </c>
      <c r="AO6">
        <v>0.62767524947139974</v>
      </c>
      <c r="AP6">
        <v>4.074927566441866E-2</v>
      </c>
      <c r="AQ6">
        <v>4.074927566441866E-2</v>
      </c>
      <c r="AR6">
        <v>688.88690242917028</v>
      </c>
      <c r="AS6">
        <v>1033.3303536437538</v>
      </c>
      <c r="AT6">
        <v>0.66666666666666774</v>
      </c>
    </row>
    <row r="7" spans="1:46" x14ac:dyDescent="0.25">
      <c r="A7" t="s">
        <v>102</v>
      </c>
      <c r="B7" t="s">
        <v>103</v>
      </c>
      <c r="C7" t="s">
        <v>47</v>
      </c>
      <c r="D7" t="s">
        <v>48</v>
      </c>
      <c r="E7">
        <v>45.86</v>
      </c>
      <c r="F7">
        <v>24.87</v>
      </c>
      <c r="G7">
        <v>42</v>
      </c>
      <c r="H7">
        <v>1926.12</v>
      </c>
      <c r="I7">
        <v>1044.54</v>
      </c>
      <c r="J7">
        <v>881.57999999999993</v>
      </c>
      <c r="K7">
        <v>0.45769733972961185</v>
      </c>
      <c r="L7">
        <v>57.591701553971269</v>
      </c>
      <c r="M7">
        <v>11.73170155397127</v>
      </c>
      <c r="N7">
        <v>0.25581555939754186</v>
      </c>
      <c r="O7">
        <v>713.86465905090859</v>
      </c>
      <c r="P7">
        <v>813.3446590509086</v>
      </c>
      <c r="Q7">
        <v>17</v>
      </c>
      <c r="R7">
        <v>81.368042561098989</v>
      </c>
      <c r="S7">
        <v>0.36473223781720471</v>
      </c>
      <c r="T7">
        <v>5696.8899999999994</v>
      </c>
      <c r="U7">
        <v>1838.4436548864205</v>
      </c>
      <c r="V7">
        <v>0.70588235294117652</v>
      </c>
      <c r="W7">
        <v>0.23529411764705882</v>
      </c>
      <c r="X7">
        <v>5.8823529411764705E-2</v>
      </c>
      <c r="Y7">
        <v>0</v>
      </c>
      <c r="Z7" t="s">
        <v>53</v>
      </c>
      <c r="AA7">
        <v>52.899020932382761</v>
      </c>
      <c r="AB7">
        <v>7.0390209323827619</v>
      </c>
      <c r="AC7">
        <v>0.15348933563852513</v>
      </c>
      <c r="AD7">
        <v>-6.1395734255410055E-2</v>
      </c>
      <c r="AE7">
        <v>42.061395734255413</v>
      </c>
      <c r="AF7">
        <v>2085.3523614355663</v>
      </c>
      <c r="AG7">
        <v>159.23236143556642</v>
      </c>
      <c r="AH7">
        <v>8.2670010921212816E-2</v>
      </c>
      <c r="AI7">
        <v>2227.5715180861666</v>
      </c>
      <c r="AJ7">
        <v>1183.0315180861667</v>
      </c>
      <c r="AK7">
        <v>1.1325861317768269</v>
      </c>
      <c r="AL7">
        <v>1104.9426616947121</v>
      </c>
      <c r="AM7">
        <v>223.36266169471219</v>
      </c>
      <c r="AN7">
        <v>0.25336629879842126</v>
      </c>
      <c r="AO7">
        <v>0.52985897353772116</v>
      </c>
      <c r="AP7">
        <v>7.2161633808109304E-2</v>
      </c>
      <c r="AQ7">
        <v>7.2161633808109304E-2</v>
      </c>
      <c r="AR7">
        <v>666.16546553531475</v>
      </c>
      <c r="AS7">
        <v>999.24819830297201</v>
      </c>
      <c r="AT7">
        <v>0.66666666666666674</v>
      </c>
    </row>
    <row r="8" spans="1:46" x14ac:dyDescent="0.25">
      <c r="A8" t="s">
        <v>114</v>
      </c>
      <c r="B8" t="s">
        <v>124</v>
      </c>
      <c r="C8" t="s">
        <v>47</v>
      </c>
      <c r="D8" t="s">
        <v>48</v>
      </c>
      <c r="E8">
        <v>67.56</v>
      </c>
      <c r="F8">
        <v>43.21</v>
      </c>
      <c r="G8">
        <v>22</v>
      </c>
      <c r="H8">
        <v>1486.3200000000002</v>
      </c>
      <c r="I8">
        <v>950.62</v>
      </c>
      <c r="J8">
        <v>535.70000000000016</v>
      </c>
      <c r="K8">
        <v>0.36042036708111314</v>
      </c>
      <c r="L8">
        <v>74.848492484947073</v>
      </c>
      <c r="M8">
        <v>7.2884924849470707</v>
      </c>
      <c r="N8">
        <v>0.10788177153562864</v>
      </c>
      <c r="O8">
        <v>85.498342183888553</v>
      </c>
      <c r="P8">
        <v>128.7083421838887</v>
      </c>
      <c r="Q8">
        <v>10</v>
      </c>
      <c r="R8">
        <v>66.151439602997598</v>
      </c>
      <c r="S8">
        <v>0.25273448132010606</v>
      </c>
      <c r="T8">
        <v>5893.09</v>
      </c>
      <c r="U8">
        <v>1511.5432138179046</v>
      </c>
      <c r="V8">
        <v>0.4</v>
      </c>
      <c r="W8">
        <v>0.2</v>
      </c>
      <c r="X8">
        <v>0.4</v>
      </c>
      <c r="Y8">
        <v>0</v>
      </c>
      <c r="Z8" t="s">
        <v>53</v>
      </c>
      <c r="AA8">
        <v>71.933095490968242</v>
      </c>
      <c r="AB8">
        <v>4.3730954909682396</v>
      </c>
      <c r="AC8">
        <v>6.4729062921377131E-2</v>
      </c>
      <c r="AD8">
        <v>-2.5891625168550855E-2</v>
      </c>
      <c r="AE8">
        <v>22.025891625168551</v>
      </c>
      <c r="AF8">
        <v>1541.5538763966556</v>
      </c>
      <c r="AG8">
        <v>55.233876396655432</v>
      </c>
      <c r="AH8">
        <v>3.7161497118154523E-2</v>
      </c>
      <c r="AI8">
        <v>1166.4912204689265</v>
      </c>
      <c r="AJ8">
        <v>215.87122046892648</v>
      </c>
      <c r="AK8">
        <v>0.22708466103061842</v>
      </c>
      <c r="AL8">
        <v>615.54697311438326</v>
      </c>
      <c r="AM8">
        <v>79.846973114383104</v>
      </c>
      <c r="AN8">
        <v>0.14905165785772462</v>
      </c>
      <c r="AO8">
        <v>0.39930292579407556</v>
      </c>
      <c r="AP8">
        <v>3.8882558712962423E-2</v>
      </c>
      <c r="AQ8">
        <v>3.8882558712962423E-2</v>
      </c>
      <c r="AR8">
        <v>429.27827272428533</v>
      </c>
      <c r="AS8">
        <v>643.91740908642703</v>
      </c>
      <c r="AT8">
        <v>0.66666666666666763</v>
      </c>
    </row>
    <row r="9" spans="1:46" x14ac:dyDescent="0.25">
      <c r="A9" t="s">
        <v>45</v>
      </c>
      <c r="B9" t="s">
        <v>46</v>
      </c>
      <c r="C9" t="s">
        <v>47</v>
      </c>
      <c r="D9" t="s">
        <v>48</v>
      </c>
      <c r="E9">
        <v>143.80000000000001</v>
      </c>
      <c r="F9">
        <v>62.15</v>
      </c>
      <c r="G9">
        <v>29</v>
      </c>
      <c r="H9">
        <v>4170.2000000000007</v>
      </c>
      <c r="I9">
        <v>1802.35</v>
      </c>
      <c r="J9">
        <v>2367.8500000000008</v>
      </c>
      <c r="K9">
        <v>0.56780250347705152</v>
      </c>
      <c r="L9">
        <v>176.09452849869206</v>
      </c>
      <c r="M9">
        <v>32.294528498692046</v>
      </c>
      <c r="N9">
        <v>0.22457947495613381</v>
      </c>
      <c r="O9">
        <v>408.25774096599343</v>
      </c>
      <c r="P9">
        <v>594.70774096599325</v>
      </c>
      <c r="Q9">
        <v>10</v>
      </c>
      <c r="R9">
        <v>75.76755153998532</v>
      </c>
      <c r="S9">
        <v>0.28614482209176356</v>
      </c>
      <c r="T9">
        <v>4045.5299999999997</v>
      </c>
      <c r="U9">
        <v>1207.1798191480714</v>
      </c>
      <c r="V9">
        <v>0.5</v>
      </c>
      <c r="W9">
        <v>0.5</v>
      </c>
      <c r="X9">
        <v>0</v>
      </c>
      <c r="Y9">
        <v>0</v>
      </c>
      <c r="Z9" t="s">
        <v>53</v>
      </c>
      <c r="AA9">
        <v>163.17671709921524</v>
      </c>
      <c r="AB9">
        <v>19.376717099215227</v>
      </c>
      <c r="AC9">
        <v>0.13474768497368028</v>
      </c>
      <c r="AD9">
        <v>-5.3899073989472114E-2</v>
      </c>
      <c r="AE9">
        <v>29.053899073989474</v>
      </c>
      <c r="AF9">
        <v>4477.0676513768385</v>
      </c>
      <c r="AG9">
        <v>306.86765137683778</v>
      </c>
      <c r="AH9">
        <v>7.3585835541901526E-2</v>
      </c>
      <c r="AI9">
        <v>1538.6944949584824</v>
      </c>
      <c r="AJ9">
        <v>-263.65550504151747</v>
      </c>
      <c r="AK9">
        <v>-0.14628429830028433</v>
      </c>
      <c r="AL9">
        <v>2771.8626473817635</v>
      </c>
      <c r="AM9">
        <v>404.01264738176269</v>
      </c>
      <c r="AN9">
        <v>0.17062425718764387</v>
      </c>
      <c r="AO9">
        <v>0.61912458404092441</v>
      </c>
      <c r="AP9">
        <v>5.1322080563872885E-2</v>
      </c>
      <c r="AQ9">
        <v>5.1322080563872885E-2</v>
      </c>
      <c r="AR9">
        <v>422.51293670182497</v>
      </c>
      <c r="AS9">
        <v>633.7694050527374</v>
      </c>
      <c r="AT9">
        <v>0.66666666666666674</v>
      </c>
    </row>
    <row r="10" spans="1:46" x14ac:dyDescent="0.25">
      <c r="A10" t="s">
        <v>104</v>
      </c>
      <c r="B10" t="s">
        <v>105</v>
      </c>
      <c r="C10" t="s">
        <v>47</v>
      </c>
      <c r="D10" t="s">
        <v>48</v>
      </c>
      <c r="E10">
        <v>160.35</v>
      </c>
      <c r="F10">
        <v>72.47</v>
      </c>
      <c r="G10">
        <v>36</v>
      </c>
      <c r="H10">
        <v>5772.5999999999995</v>
      </c>
      <c r="I10">
        <v>2608.92</v>
      </c>
      <c r="J10">
        <v>3163.6799999999994</v>
      </c>
      <c r="K10">
        <v>0.54805113813532891</v>
      </c>
      <c r="L10">
        <v>182.28730909948831</v>
      </c>
      <c r="M10">
        <v>21.937309099488317</v>
      </c>
      <c r="N10">
        <v>0.13680891237597953</v>
      </c>
      <c r="O10">
        <v>425.16850938260268</v>
      </c>
      <c r="P10">
        <v>570.10850938260273</v>
      </c>
      <c r="Q10">
        <v>12</v>
      </c>
      <c r="R10">
        <v>69.769541493538881</v>
      </c>
      <c r="S10">
        <v>0.28227914447027186</v>
      </c>
      <c r="T10">
        <v>5455.85</v>
      </c>
      <c r="U10">
        <v>1437.4209803104648</v>
      </c>
      <c r="V10">
        <v>0.41666666666666669</v>
      </c>
      <c r="W10">
        <v>0.41666666666666669</v>
      </c>
      <c r="X10">
        <v>0.16666666666666666</v>
      </c>
      <c r="Y10">
        <v>0</v>
      </c>
      <c r="Z10" t="s">
        <v>53</v>
      </c>
      <c r="AA10">
        <v>173.51238545969298</v>
      </c>
      <c r="AB10">
        <v>13.162385459692985</v>
      </c>
      <c r="AC10">
        <v>8.2085347425587679E-2</v>
      </c>
      <c r="AD10">
        <v>-3.2834138970235072E-2</v>
      </c>
      <c r="AE10">
        <v>36.032834138970237</v>
      </c>
      <c r="AF10">
        <v>6041.349204568287</v>
      </c>
      <c r="AG10">
        <v>268.7492045682875</v>
      </c>
      <c r="AH10">
        <v>4.655600675056084E-2</v>
      </c>
      <c r="AI10">
        <v>1908.2988959998638</v>
      </c>
      <c r="AJ10">
        <v>-700.62110400013626</v>
      </c>
      <c r="AK10">
        <v>-0.26854832804384043</v>
      </c>
      <c r="AL10">
        <v>3518.0908464105128</v>
      </c>
      <c r="AM10">
        <v>354.41084641051339</v>
      </c>
      <c r="AN10">
        <v>0.11202487179819497</v>
      </c>
      <c r="AO10">
        <v>0.582335290890028</v>
      </c>
      <c r="AP10">
        <v>3.4284152754699093E-2</v>
      </c>
      <c r="AQ10">
        <v>3.4284152754699093E-2</v>
      </c>
      <c r="AR10">
        <v>457.57901206549826</v>
      </c>
      <c r="AS10">
        <v>686.36851809824657</v>
      </c>
      <c r="AT10">
        <v>0.66666666666666752</v>
      </c>
    </row>
    <row r="11" spans="1:46" x14ac:dyDescent="0.25">
      <c r="A11" t="s">
        <v>50</v>
      </c>
      <c r="B11" t="s">
        <v>51</v>
      </c>
      <c r="C11" t="s">
        <v>52</v>
      </c>
      <c r="D11" t="s">
        <v>48</v>
      </c>
      <c r="E11">
        <v>98.51</v>
      </c>
      <c r="F11">
        <v>55.17</v>
      </c>
      <c r="G11">
        <v>34</v>
      </c>
      <c r="H11">
        <v>3349.34</v>
      </c>
      <c r="I11">
        <v>1875.78</v>
      </c>
      <c r="J11">
        <v>1473.5600000000002</v>
      </c>
      <c r="K11">
        <v>0.4399553344838088</v>
      </c>
      <c r="L11">
        <v>115.63152012124601</v>
      </c>
      <c r="M11">
        <v>17.121520121246007</v>
      </c>
      <c r="N11">
        <v>0.17380489413507264</v>
      </c>
      <c r="O11">
        <v>350.86864387987225</v>
      </c>
      <c r="P11">
        <v>461.20864387987217</v>
      </c>
      <c r="Q11">
        <v>13</v>
      </c>
      <c r="R11">
        <v>67.896640710337792</v>
      </c>
      <c r="S11">
        <v>0.21903189784736954</v>
      </c>
      <c r="T11">
        <v>7864.8700000000008</v>
      </c>
      <c r="U11">
        <v>1821.0803839968587</v>
      </c>
      <c r="V11">
        <v>0.46153846153846156</v>
      </c>
      <c r="W11">
        <v>0.38461538461538464</v>
      </c>
      <c r="X11">
        <v>0.15384615384615385</v>
      </c>
      <c r="Y11">
        <v>0</v>
      </c>
      <c r="Z11" t="s">
        <v>53</v>
      </c>
      <c r="AA11">
        <v>108.78291207274761</v>
      </c>
      <c r="AB11">
        <v>10.272912072747602</v>
      </c>
      <c r="AC11">
        <v>0.10428293648104356</v>
      </c>
      <c r="AD11">
        <v>-4.1713174592417426E-2</v>
      </c>
      <c r="AE11">
        <v>34.041713174592417</v>
      </c>
      <c r="AF11">
        <v>3544.3378699387067</v>
      </c>
      <c r="AG11">
        <v>194.99786993870657</v>
      </c>
      <c r="AH11">
        <v>5.8219789552182391E-2</v>
      </c>
      <c r="AI11">
        <v>1802.8491297264145</v>
      </c>
      <c r="AJ11">
        <v>-72.930870273585469</v>
      </c>
      <c r="AK11">
        <v>-3.8880289945295007E-2</v>
      </c>
      <c r="AL11">
        <v>1746.8026085756715</v>
      </c>
      <c r="AM11">
        <v>273.24260857567128</v>
      </c>
      <c r="AN11">
        <v>0.1854302563693852</v>
      </c>
      <c r="AO11">
        <v>0.49284314099713056</v>
      </c>
      <c r="AP11">
        <v>5.2887806513321756E-2</v>
      </c>
      <c r="AQ11">
        <v>5.2887806513321756E-2</v>
      </c>
      <c r="AR11">
        <v>591.15070926667283</v>
      </c>
      <c r="AS11">
        <v>886.72606390000863</v>
      </c>
      <c r="AT11">
        <v>0.66666666666666718</v>
      </c>
    </row>
    <row r="12" spans="1:46" x14ac:dyDescent="0.25">
      <c r="A12" t="s">
        <v>54</v>
      </c>
      <c r="B12" t="s">
        <v>55</v>
      </c>
      <c r="C12" t="s">
        <v>52</v>
      </c>
      <c r="D12" t="s">
        <v>48</v>
      </c>
      <c r="E12">
        <v>106.06</v>
      </c>
      <c r="F12">
        <v>33.42</v>
      </c>
      <c r="G12">
        <v>39</v>
      </c>
      <c r="H12">
        <v>4136.34</v>
      </c>
      <c r="I12">
        <v>1303.3800000000001</v>
      </c>
      <c r="J12">
        <v>2832.96</v>
      </c>
      <c r="K12">
        <v>0.68489534225909865</v>
      </c>
      <c r="L12">
        <v>125.95982059079952</v>
      </c>
      <c r="M12">
        <v>19.899820590799521</v>
      </c>
      <c r="N12">
        <v>0.18762795201583557</v>
      </c>
      <c r="O12">
        <v>398.21354126878305</v>
      </c>
      <c r="P12">
        <v>498.47354126878326</v>
      </c>
      <c r="Q12">
        <v>12</v>
      </c>
      <c r="R12">
        <v>83.640693880369497</v>
      </c>
      <c r="S12">
        <v>0.39945616218468216</v>
      </c>
      <c r="T12">
        <v>3203.34</v>
      </c>
      <c r="U12">
        <v>1061.3751512398956</v>
      </c>
      <c r="V12">
        <v>0.75</v>
      </c>
      <c r="W12">
        <v>0.16666666666666666</v>
      </c>
      <c r="X12">
        <v>8.3333333333333329E-2</v>
      </c>
      <c r="Y12">
        <v>0</v>
      </c>
      <c r="Z12" t="s">
        <v>53</v>
      </c>
      <c r="AA12">
        <v>117.99989235447971</v>
      </c>
      <c r="AB12">
        <v>11.93989235447971</v>
      </c>
      <c r="AC12">
        <v>0.11257677120950131</v>
      </c>
      <c r="AD12">
        <v>-4.503070848380053E-2</v>
      </c>
      <c r="AE12">
        <v>39.0450307084838</v>
      </c>
      <c r="AF12">
        <v>4394.7646704290664</v>
      </c>
      <c r="AG12">
        <v>258.42467042906628</v>
      </c>
      <c r="AH12">
        <v>6.247665095931821E-2</v>
      </c>
      <c r="AI12">
        <v>2067.8248263213022</v>
      </c>
      <c r="AJ12">
        <v>764.44482632130212</v>
      </c>
      <c r="AK12">
        <v>0.58650955693757922</v>
      </c>
      <c r="AL12">
        <v>3150.0767952526821</v>
      </c>
      <c r="AM12">
        <v>317.1167952526821</v>
      </c>
      <c r="AN12">
        <v>0.11193832431544466</v>
      </c>
      <c r="AO12">
        <v>0.71677940264891049</v>
      </c>
      <c r="AP12">
        <v>3.1884060389811841E-2</v>
      </c>
      <c r="AQ12">
        <v>3.1884060389811841E-2</v>
      </c>
      <c r="AR12">
        <v>385.63297161716218</v>
      </c>
      <c r="AS12">
        <v>578.44945742574293</v>
      </c>
      <c r="AT12">
        <v>0.66666666666666707</v>
      </c>
    </row>
    <row r="13" spans="1:46" x14ac:dyDescent="0.25">
      <c r="A13" t="s">
        <v>115</v>
      </c>
      <c r="B13" t="s">
        <v>125</v>
      </c>
      <c r="C13" t="s">
        <v>52</v>
      </c>
      <c r="D13" t="s">
        <v>48</v>
      </c>
      <c r="E13">
        <v>34.479999999999997</v>
      </c>
      <c r="F13">
        <v>19.239999999999998</v>
      </c>
      <c r="G13">
        <v>19</v>
      </c>
      <c r="H13">
        <v>655.11999999999989</v>
      </c>
      <c r="I13">
        <v>365.55999999999995</v>
      </c>
      <c r="J13">
        <v>289.55999999999995</v>
      </c>
      <c r="K13">
        <v>0.44199535962877029</v>
      </c>
      <c r="L13">
        <v>36.908161919642779</v>
      </c>
      <c r="M13">
        <v>2.4281619196427826</v>
      </c>
      <c r="N13">
        <v>7.0422329455997176E-2</v>
      </c>
      <c r="O13">
        <v>9.2269145535701682</v>
      </c>
      <c r="P13">
        <v>28.46691455357012</v>
      </c>
      <c r="Q13">
        <v>7</v>
      </c>
      <c r="R13">
        <v>73.55832454483901</v>
      </c>
      <c r="S13">
        <v>0.22727841967734827</v>
      </c>
      <c r="T13">
        <v>2703.1299999999997</v>
      </c>
      <c r="U13">
        <v>804.52718410151249</v>
      </c>
      <c r="V13">
        <v>0.5714285714285714</v>
      </c>
      <c r="W13">
        <v>0.14285714285714285</v>
      </c>
      <c r="X13">
        <v>0.2857142857142857</v>
      </c>
      <c r="Y13">
        <v>0</v>
      </c>
      <c r="Z13" t="s">
        <v>53</v>
      </c>
      <c r="AA13">
        <v>35.936897151785665</v>
      </c>
      <c r="AB13">
        <v>1.4568971517856681</v>
      </c>
      <c r="AC13">
        <v>4.2253397673598266E-2</v>
      </c>
      <c r="AD13">
        <v>-1.6901359069439306E-2</v>
      </c>
      <c r="AE13">
        <v>19.01690135906944</v>
      </c>
      <c r="AF13">
        <v>671.26078023445461</v>
      </c>
      <c r="AG13">
        <v>16.140780234454724</v>
      </c>
      <c r="AH13">
        <v>2.4637898758173658E-2</v>
      </c>
      <c r="AI13">
        <v>1007.1350959763175</v>
      </c>
      <c r="AJ13">
        <v>641.57509597631758</v>
      </c>
      <c r="AK13">
        <v>1.7550473136456879</v>
      </c>
      <c r="AL13">
        <v>311.87924105587894</v>
      </c>
      <c r="AM13">
        <v>22.31924105587899</v>
      </c>
      <c r="AN13">
        <v>7.7079848928992251E-2</v>
      </c>
      <c r="AO13">
        <v>0.46461710595835393</v>
      </c>
      <c r="AP13">
        <v>2.2621746329583636E-2</v>
      </c>
      <c r="AQ13">
        <v>2.2621746329583636E-2</v>
      </c>
      <c r="AR13">
        <v>255.15004981505146</v>
      </c>
      <c r="AS13">
        <v>382.72507472257621</v>
      </c>
      <c r="AT13">
        <v>0.66666666666666841</v>
      </c>
    </row>
    <row r="14" spans="1:46" x14ac:dyDescent="0.25">
      <c r="A14" t="s">
        <v>116</v>
      </c>
      <c r="B14" t="s">
        <v>126</v>
      </c>
      <c r="C14" t="s">
        <v>52</v>
      </c>
      <c r="D14" t="s">
        <v>48</v>
      </c>
      <c r="E14">
        <v>148.11000000000001</v>
      </c>
      <c r="F14">
        <v>69.64</v>
      </c>
      <c r="G14">
        <v>27</v>
      </c>
      <c r="H14">
        <v>3998.9700000000003</v>
      </c>
      <c r="I14">
        <v>1880.28</v>
      </c>
      <c r="J14">
        <v>2118.6900000000005</v>
      </c>
      <c r="K14">
        <v>0.52980892579839323</v>
      </c>
      <c r="L14">
        <v>164.85971574016031</v>
      </c>
      <c r="M14">
        <v>16.749715740160298</v>
      </c>
      <c r="N14">
        <v>0.1130897018443069</v>
      </c>
      <c r="O14">
        <v>917.56260924416802</v>
      </c>
      <c r="P14">
        <v>987.20260924416789</v>
      </c>
      <c r="Q14">
        <v>12</v>
      </c>
      <c r="R14">
        <v>67.0117400614769</v>
      </c>
      <c r="S14">
        <v>0.25894826805529225</v>
      </c>
      <c r="T14">
        <v>7071.97</v>
      </c>
      <c r="U14">
        <v>1774.9243566264481</v>
      </c>
      <c r="V14">
        <v>0.5</v>
      </c>
      <c r="W14">
        <v>8.3333333333333329E-2</v>
      </c>
      <c r="X14">
        <v>0.41666666666666669</v>
      </c>
      <c r="Y14">
        <v>0</v>
      </c>
      <c r="Z14" t="s">
        <v>53</v>
      </c>
      <c r="AA14">
        <v>157.82483512929298</v>
      </c>
      <c r="AB14">
        <v>9.7148351292929647</v>
      </c>
      <c r="AC14">
        <v>6.5592027069697953E-2</v>
      </c>
      <c r="AD14">
        <v>-2.6236810827879181E-2</v>
      </c>
      <c r="AE14">
        <v>27.026236810827879</v>
      </c>
      <c r="AF14">
        <v>4149.4683992237415</v>
      </c>
      <c r="AG14">
        <v>150.49839922374122</v>
      </c>
      <c r="AH14">
        <v>3.7634290635774011E-2</v>
      </c>
      <c r="AI14">
        <v>1431.3095015014444</v>
      </c>
      <c r="AJ14">
        <v>-448.97049849855557</v>
      </c>
      <c r="AK14">
        <v>-0.2387785321859274</v>
      </c>
      <c r="AL14">
        <v>2318.5209498871864</v>
      </c>
      <c r="AM14">
        <v>199.83094988718585</v>
      </c>
      <c r="AN14">
        <v>9.4318163528966395E-2</v>
      </c>
      <c r="AO14">
        <v>0.55875132108993086</v>
      </c>
      <c r="AP14">
        <v>2.8942395291537637E-2</v>
      </c>
      <c r="AQ14">
        <v>2.8942395291537637E-2</v>
      </c>
      <c r="AR14">
        <v>543.57058421685042</v>
      </c>
      <c r="AS14">
        <v>750.64509248993477</v>
      </c>
      <c r="AT14">
        <v>0.72413793103448421</v>
      </c>
    </row>
    <row r="15" spans="1:46" x14ac:dyDescent="0.25">
      <c r="A15" t="s">
        <v>117</v>
      </c>
      <c r="B15" t="s">
        <v>127</v>
      </c>
      <c r="C15" t="s">
        <v>57</v>
      </c>
      <c r="D15" t="s">
        <v>48</v>
      </c>
      <c r="E15">
        <v>54.64</v>
      </c>
      <c r="F15">
        <v>20.32</v>
      </c>
      <c r="G15">
        <v>55</v>
      </c>
      <c r="H15">
        <v>3005.2</v>
      </c>
      <c r="I15">
        <v>1117.5999999999999</v>
      </c>
      <c r="J15">
        <v>1887.6</v>
      </c>
      <c r="K15">
        <v>0.62811127379209375</v>
      </c>
      <c r="L15">
        <v>68.209095073095426</v>
      </c>
      <c r="M15">
        <v>13.569095073095426</v>
      </c>
      <c r="N15">
        <v>0.24833629343146826</v>
      </c>
      <c r="O15">
        <v>405.25475365476996</v>
      </c>
      <c r="P15">
        <v>506.85475365477032</v>
      </c>
      <c r="Q15">
        <v>21</v>
      </c>
      <c r="R15">
        <v>70.565038007429024</v>
      </c>
      <c r="S15">
        <v>0.2746601403332547</v>
      </c>
      <c r="T15">
        <v>8609.74</v>
      </c>
      <c r="U15">
        <v>2363.2455169389877</v>
      </c>
      <c r="V15">
        <v>0.47619047619047616</v>
      </c>
      <c r="W15">
        <v>0.33333333333333331</v>
      </c>
      <c r="X15">
        <v>0.19047619047619047</v>
      </c>
      <c r="Y15">
        <v>0</v>
      </c>
      <c r="Z15" t="s">
        <v>53</v>
      </c>
      <c r="AA15">
        <v>62.781457043857259</v>
      </c>
      <c r="AB15">
        <v>8.1414570438572582</v>
      </c>
      <c r="AC15">
        <v>0.14900177605888101</v>
      </c>
      <c r="AD15">
        <v>-5.960071042355241E-2</v>
      </c>
      <c r="AE15">
        <v>55.059600710423553</v>
      </c>
      <c r="AF15">
        <v>3247.1800681439695</v>
      </c>
      <c r="AG15">
        <v>241.98006814396967</v>
      </c>
      <c r="AH15">
        <v>8.052045392784829E-2</v>
      </c>
      <c r="AI15">
        <v>2915.9564536240314</v>
      </c>
      <c r="AJ15">
        <v>1798.3564536240315</v>
      </c>
      <c r="AK15">
        <v>1.6091235268647384</v>
      </c>
      <c r="AL15">
        <v>2196.1898221133315</v>
      </c>
      <c r="AM15">
        <v>308.58982211333159</v>
      </c>
      <c r="AN15">
        <v>0.16348263515222061</v>
      </c>
      <c r="AO15">
        <v>0.67633755320770816</v>
      </c>
      <c r="AP15">
        <v>4.8226279415614415E-2</v>
      </c>
      <c r="AQ15">
        <v>4.8226279415614415E-2</v>
      </c>
      <c r="AR15">
        <v>758.48927543660807</v>
      </c>
      <c r="AS15">
        <v>1137.7339131549131</v>
      </c>
      <c r="AT15">
        <v>0.66666666666666607</v>
      </c>
    </row>
    <row r="16" spans="1:46" x14ac:dyDescent="0.25">
      <c r="A16" t="s">
        <v>58</v>
      </c>
      <c r="B16" t="s">
        <v>59</v>
      </c>
      <c r="C16" t="s">
        <v>57</v>
      </c>
      <c r="D16" t="s">
        <v>48</v>
      </c>
      <c r="E16">
        <v>230.34</v>
      </c>
      <c r="F16">
        <v>74.680000000000007</v>
      </c>
      <c r="G16">
        <v>21</v>
      </c>
      <c r="H16">
        <v>4837.1400000000003</v>
      </c>
      <c r="I16">
        <v>1568.2800000000002</v>
      </c>
      <c r="J16">
        <v>3268.86</v>
      </c>
      <c r="K16">
        <v>0.675783624207693</v>
      </c>
      <c r="L16">
        <v>292.05233671227234</v>
      </c>
      <c r="M16">
        <v>61.712336712272332</v>
      </c>
      <c r="N16">
        <v>0.26791845407776477</v>
      </c>
      <c r="O16">
        <v>711.85439753317496</v>
      </c>
      <c r="P16">
        <v>861.21439753317463</v>
      </c>
      <c r="Q16">
        <v>9</v>
      </c>
      <c r="R16">
        <v>80.563831352305286</v>
      </c>
      <c r="S16">
        <v>0.3388387101196903</v>
      </c>
      <c r="T16">
        <v>3506.05</v>
      </c>
      <c r="U16">
        <v>1125.247970158546</v>
      </c>
      <c r="V16">
        <v>0.55555555555555558</v>
      </c>
      <c r="W16">
        <v>0.44444444444444442</v>
      </c>
      <c r="X16">
        <v>0</v>
      </c>
      <c r="Y16">
        <v>0</v>
      </c>
      <c r="Z16" t="s">
        <v>53</v>
      </c>
      <c r="AA16">
        <v>267.36740202736343</v>
      </c>
      <c r="AB16">
        <v>37.027402027363422</v>
      </c>
      <c r="AC16">
        <v>0.16075107244665895</v>
      </c>
      <c r="AD16">
        <v>-6.4300428978663587E-2</v>
      </c>
      <c r="AE16">
        <v>21.064300428978665</v>
      </c>
      <c r="AF16">
        <v>5253.6868310239561</v>
      </c>
      <c r="AG16">
        <v>416.54683102395575</v>
      </c>
      <c r="AH16">
        <v>8.6114280550894887E-2</v>
      </c>
      <c r="AI16">
        <v>1115.5653507187101</v>
      </c>
      <c r="AJ16">
        <v>-452.71464928129012</v>
      </c>
      <c r="AK16">
        <v>-0.28866952921754407</v>
      </c>
      <c r="AL16">
        <v>3786.2479077826147</v>
      </c>
      <c r="AM16">
        <v>517.38790778261455</v>
      </c>
      <c r="AN16">
        <v>0.15827778117833574</v>
      </c>
      <c r="AO16">
        <v>0.72068397480872792</v>
      </c>
      <c r="AP16">
        <v>4.4900350601034922E-2</v>
      </c>
      <c r="AQ16">
        <v>4.4900350601034922E-2</v>
      </c>
      <c r="AR16">
        <v>400.08816716748254</v>
      </c>
      <c r="AS16">
        <v>600.13225075122489</v>
      </c>
      <c r="AT16">
        <v>0.66666666666666552</v>
      </c>
    </row>
    <row r="17" spans="1:46" x14ac:dyDescent="0.25">
      <c r="A17" t="s">
        <v>118</v>
      </c>
      <c r="B17" t="s">
        <v>128</v>
      </c>
      <c r="C17" t="s">
        <v>57</v>
      </c>
      <c r="D17" t="s">
        <v>48</v>
      </c>
      <c r="E17">
        <v>224.77</v>
      </c>
      <c r="F17">
        <v>78.790000000000006</v>
      </c>
      <c r="G17">
        <v>15</v>
      </c>
      <c r="H17">
        <v>3371.55</v>
      </c>
      <c r="I17">
        <v>1181.8500000000001</v>
      </c>
      <c r="J17">
        <v>2189.6999999999998</v>
      </c>
      <c r="K17">
        <v>0.64946389642745905</v>
      </c>
      <c r="L17">
        <v>258.01494479999997</v>
      </c>
      <c r="M17">
        <v>33.244944799999956</v>
      </c>
      <c r="N17">
        <v>0.14790650353694867</v>
      </c>
      <c r="O17">
        <v>689.15922719999935</v>
      </c>
      <c r="P17">
        <v>767.94922719999954</v>
      </c>
      <c r="Q17">
        <v>7</v>
      </c>
      <c r="R17">
        <v>53.0620689247408</v>
      </c>
      <c r="S17">
        <v>0.16331151238540076</v>
      </c>
      <c r="T17">
        <v>2495.52</v>
      </c>
      <c r="U17">
        <v>411.31040074586326</v>
      </c>
      <c r="V17">
        <v>0.2857142857142857</v>
      </c>
      <c r="W17">
        <v>0.42857142857142855</v>
      </c>
      <c r="X17">
        <v>0.14285714285714285</v>
      </c>
      <c r="Y17">
        <v>0.14285714285714285</v>
      </c>
      <c r="Z17" t="s">
        <v>49</v>
      </c>
      <c r="AA17">
        <v>244.71696687999997</v>
      </c>
      <c r="AB17">
        <v>19.946966879999962</v>
      </c>
      <c r="AC17">
        <v>8.8743902122169163E-2</v>
      </c>
      <c r="AD17">
        <v>-3.5497560848867668E-2</v>
      </c>
      <c r="AE17">
        <v>15.035497560848867</v>
      </c>
      <c r="AF17">
        <v>3540.4516718614022</v>
      </c>
      <c r="AG17">
        <v>168.90167186140206</v>
      </c>
      <c r="AH17">
        <v>5.0096149207753723E-2</v>
      </c>
      <c r="AI17">
        <v>796.27995082255597</v>
      </c>
      <c r="AJ17">
        <v>-385.57004917744416</v>
      </c>
      <c r="AK17">
        <v>-0.32624279661331312</v>
      </c>
      <c r="AL17">
        <v>2400.5544641506367</v>
      </c>
      <c r="AM17">
        <v>210.85446415063689</v>
      </c>
      <c r="AN17">
        <v>9.6293768164879626E-2</v>
      </c>
      <c r="AO17">
        <v>0.67803621872023423</v>
      </c>
      <c r="AP17">
        <v>2.8572322292775176E-2</v>
      </c>
      <c r="AQ17">
        <v>2.8572322292775176E-2</v>
      </c>
      <c r="AR17">
        <v>112.81656706172261</v>
      </c>
      <c r="AS17">
        <v>169.22485059258366</v>
      </c>
      <c r="AT17">
        <v>0.66666666666666763</v>
      </c>
    </row>
    <row r="18" spans="1:46" x14ac:dyDescent="0.25">
      <c r="A18" t="s">
        <v>60</v>
      </c>
      <c r="B18" t="s">
        <v>61</v>
      </c>
      <c r="C18" t="s">
        <v>57</v>
      </c>
      <c r="D18" t="s">
        <v>48</v>
      </c>
      <c r="E18">
        <v>196.28</v>
      </c>
      <c r="F18">
        <v>71.73</v>
      </c>
      <c r="G18">
        <v>38</v>
      </c>
      <c r="H18">
        <v>7458.64</v>
      </c>
      <c r="I18">
        <v>2725.7400000000002</v>
      </c>
      <c r="J18">
        <v>4732.8999999999996</v>
      </c>
      <c r="K18">
        <v>0.63455267984511909</v>
      </c>
      <c r="L18">
        <v>228.89345445731379</v>
      </c>
      <c r="M18">
        <v>32.613454457313793</v>
      </c>
      <c r="N18">
        <v>0.16615780750618397</v>
      </c>
      <c r="O18">
        <v>552.63090600598207</v>
      </c>
      <c r="P18">
        <v>767.82090600598258</v>
      </c>
      <c r="Q18">
        <v>12</v>
      </c>
      <c r="R18">
        <v>76.59906110590704</v>
      </c>
      <c r="S18">
        <v>0.24028498434328147</v>
      </c>
      <c r="T18">
        <v>6125.9500000000007</v>
      </c>
      <c r="U18">
        <v>1597.9585464320285</v>
      </c>
      <c r="V18">
        <v>0.58333333333333337</v>
      </c>
      <c r="W18">
        <v>0.25</v>
      </c>
      <c r="X18">
        <v>0.16666666666666666</v>
      </c>
      <c r="Y18">
        <v>0</v>
      </c>
      <c r="Z18" t="s">
        <v>53</v>
      </c>
      <c r="AA18">
        <v>215.84807267438828</v>
      </c>
      <c r="AB18">
        <v>19.568072674388276</v>
      </c>
      <c r="AC18">
        <v>9.9694684503710398E-2</v>
      </c>
      <c r="AD18">
        <v>-3.9877873801484165E-2</v>
      </c>
      <c r="AE18">
        <v>38.039877873801487</v>
      </c>
      <c r="AF18">
        <v>7875.1393979354461</v>
      </c>
      <c r="AG18">
        <v>416.49939793544581</v>
      </c>
      <c r="AH18">
        <v>5.5841198654908372E-2</v>
      </c>
      <c r="AI18">
        <v>2014.5919321965268</v>
      </c>
      <c r="AJ18">
        <v>-711.1480678034734</v>
      </c>
      <c r="AK18">
        <v>-0.2609009178437684</v>
      </c>
      <c r="AL18">
        <v>5258.0961136711039</v>
      </c>
      <c r="AM18">
        <v>525.19611367110429</v>
      </c>
      <c r="AN18">
        <v>0.11096708438190207</v>
      </c>
      <c r="AO18">
        <v>0.66768292572060006</v>
      </c>
      <c r="AP18">
        <v>3.3130245875480968E-2</v>
      </c>
      <c r="AQ18">
        <v>3.3130245875480968E-2</v>
      </c>
      <c r="AR18">
        <v>535.3161130547295</v>
      </c>
      <c r="AS18">
        <v>802.97416958209431</v>
      </c>
      <c r="AT18">
        <v>0.66666666666666663</v>
      </c>
    </row>
    <row r="19" spans="1:46" x14ac:dyDescent="0.25">
      <c r="A19" t="s">
        <v>106</v>
      </c>
      <c r="B19" t="s">
        <v>107</v>
      </c>
      <c r="C19" t="s">
        <v>57</v>
      </c>
      <c r="D19" t="s">
        <v>48</v>
      </c>
      <c r="E19">
        <v>49.1</v>
      </c>
      <c r="F19">
        <v>30.02</v>
      </c>
      <c r="G19">
        <v>37</v>
      </c>
      <c r="H19">
        <v>1816.7</v>
      </c>
      <c r="I19">
        <v>1110.74</v>
      </c>
      <c r="J19">
        <v>705.96</v>
      </c>
      <c r="K19">
        <v>0.38859470468431773</v>
      </c>
      <c r="L19">
        <v>52.262974962461286</v>
      </c>
      <c r="M19">
        <v>3.1629749624612842</v>
      </c>
      <c r="N19">
        <v>6.4419042005321461E-2</v>
      </c>
      <c r="O19">
        <v>536.51709864860595</v>
      </c>
      <c r="P19">
        <v>566.53709864860593</v>
      </c>
      <c r="Q19">
        <v>13</v>
      </c>
      <c r="R19">
        <v>72.744974229920359</v>
      </c>
      <c r="S19">
        <v>0.26410651447061861</v>
      </c>
      <c r="T19">
        <v>6514.2100000000009</v>
      </c>
      <c r="U19">
        <v>1772.0208758689498</v>
      </c>
      <c r="V19">
        <v>0.53846153846153844</v>
      </c>
      <c r="W19">
        <v>0.30769230769230771</v>
      </c>
      <c r="X19">
        <v>0.15384615384615385</v>
      </c>
      <c r="Y19">
        <v>0</v>
      </c>
      <c r="Z19" t="s">
        <v>53</v>
      </c>
      <c r="AA19">
        <v>50.997784977476769</v>
      </c>
      <c r="AB19">
        <v>1.8977849774767677</v>
      </c>
      <c r="AC19">
        <v>3.865142520319282E-2</v>
      </c>
      <c r="AD19">
        <v>-1.5460570081277129E-2</v>
      </c>
      <c r="AE19">
        <v>37.015460570081274</v>
      </c>
      <c r="AF19">
        <v>1857.745215507176</v>
      </c>
      <c r="AG19">
        <v>41.045215507175953</v>
      </c>
      <c r="AH19">
        <v>2.2593282053820638E-2</v>
      </c>
      <c r="AI19">
        <v>1960.3387917915043</v>
      </c>
      <c r="AJ19">
        <v>849.59879179150425</v>
      </c>
      <c r="AK19">
        <v>0.76489438733772463</v>
      </c>
      <c r="AL19">
        <v>764.17788911925368</v>
      </c>
      <c r="AM19">
        <v>58.217889119253641</v>
      </c>
      <c r="AN19">
        <v>8.2466271629063462E-2</v>
      </c>
      <c r="AO19">
        <v>0.41134698275114567</v>
      </c>
      <c r="AP19">
        <v>2.2752278066827947E-2</v>
      </c>
      <c r="AQ19">
        <v>2.2752278066827947E-2</v>
      </c>
      <c r="AR19">
        <v>588.85616798106776</v>
      </c>
      <c r="AS19">
        <v>883.28425197159822</v>
      </c>
      <c r="AT19">
        <v>0.66666666666666929</v>
      </c>
    </row>
    <row r="20" spans="1:46" x14ac:dyDescent="0.25">
      <c r="A20" t="s">
        <v>108</v>
      </c>
      <c r="B20" t="s">
        <v>109</v>
      </c>
      <c r="C20" t="s">
        <v>57</v>
      </c>
      <c r="D20" t="s">
        <v>48</v>
      </c>
      <c r="E20">
        <v>31.81</v>
      </c>
      <c r="F20">
        <v>10.64</v>
      </c>
      <c r="G20">
        <v>25</v>
      </c>
      <c r="H20">
        <v>795.25</v>
      </c>
      <c r="I20">
        <v>266</v>
      </c>
      <c r="J20">
        <v>529.25</v>
      </c>
      <c r="K20">
        <v>0.66551398931153727</v>
      </c>
      <c r="L20">
        <v>35.216736588500552</v>
      </c>
      <c r="M20">
        <v>3.4067365885005536</v>
      </c>
      <c r="N20">
        <v>0.10709640328514787</v>
      </c>
      <c r="O20">
        <v>179.95167812401314</v>
      </c>
      <c r="P20">
        <v>190.59167812401313</v>
      </c>
      <c r="Q20">
        <v>11</v>
      </c>
      <c r="R20">
        <v>71.003027598546765</v>
      </c>
      <c r="S20">
        <v>0.28584849532758116</v>
      </c>
      <c r="T20">
        <v>5021.24</v>
      </c>
      <c r="U20">
        <v>1396.9812800741929</v>
      </c>
      <c r="V20">
        <v>0.54545454545454541</v>
      </c>
      <c r="W20">
        <v>0.18181818181818182</v>
      </c>
      <c r="X20">
        <v>0.27272727272727271</v>
      </c>
      <c r="Y20">
        <v>0</v>
      </c>
      <c r="Z20" t="s">
        <v>53</v>
      </c>
      <c r="AA20">
        <v>33.854041953100328</v>
      </c>
      <c r="AB20">
        <v>2.0440419531003293</v>
      </c>
      <c r="AC20">
        <v>6.4257841971088636E-2</v>
      </c>
      <c r="AD20">
        <v>-2.5703136788435457E-2</v>
      </c>
      <c r="AE20">
        <v>25.025703136788437</v>
      </c>
      <c r="AF20">
        <v>824.5971720484589</v>
      </c>
      <c r="AG20">
        <v>29.347172048458901</v>
      </c>
      <c r="AH20">
        <v>3.6903077080740525E-2</v>
      </c>
      <c r="AI20">
        <v>1325.3612381243156</v>
      </c>
      <c r="AJ20">
        <v>1059.3612381243156</v>
      </c>
      <c r="AK20">
        <v>3.9825610455801339</v>
      </c>
      <c r="AL20">
        <v>565.43420643418267</v>
      </c>
      <c r="AM20">
        <v>36.18420643418267</v>
      </c>
      <c r="AN20">
        <v>6.836883596444529E-2</v>
      </c>
      <c r="AO20">
        <v>0.68570961143310094</v>
      </c>
      <c r="AP20">
        <v>2.0195622121563672E-2</v>
      </c>
      <c r="AQ20">
        <v>2.0195622121563672E-2</v>
      </c>
      <c r="AR20">
        <v>441.9540776962001</v>
      </c>
      <c r="AS20">
        <v>662.93111654429799</v>
      </c>
      <c r="AT20">
        <v>0.66666666666666885</v>
      </c>
    </row>
    <row r="21" spans="1:46" x14ac:dyDescent="0.25">
      <c r="A21" t="s">
        <v>62</v>
      </c>
      <c r="B21" t="s">
        <v>63</v>
      </c>
      <c r="C21" t="s">
        <v>57</v>
      </c>
      <c r="D21" t="s">
        <v>48</v>
      </c>
      <c r="E21">
        <v>189.99</v>
      </c>
      <c r="F21">
        <v>63.51</v>
      </c>
      <c r="G21">
        <v>28</v>
      </c>
      <c r="H21">
        <v>5319.72</v>
      </c>
      <c r="I21">
        <v>1778.28</v>
      </c>
      <c r="J21">
        <v>3541.4400000000005</v>
      </c>
      <c r="K21">
        <v>0.66571924838149388</v>
      </c>
      <c r="L21">
        <v>232.14077285456503</v>
      </c>
      <c r="M21">
        <v>42.15077285456502</v>
      </c>
      <c r="N21">
        <v>0.22185784964769206</v>
      </c>
      <c r="O21">
        <v>715.94009421869032</v>
      </c>
      <c r="P21">
        <v>842.96009421868985</v>
      </c>
      <c r="Q21">
        <v>11</v>
      </c>
      <c r="R21">
        <v>65.245249219693505</v>
      </c>
      <c r="S21">
        <v>0.20704190456883856</v>
      </c>
      <c r="T21">
        <v>9090.1999999999989</v>
      </c>
      <c r="U21">
        <v>1631.9228817867202</v>
      </c>
      <c r="V21">
        <v>0.36363636363636365</v>
      </c>
      <c r="W21">
        <v>0.45454545454545453</v>
      </c>
      <c r="X21">
        <v>9.0909090909090912E-2</v>
      </c>
      <c r="Y21">
        <v>9.0909090909090912E-2</v>
      </c>
      <c r="Z21" t="s">
        <v>49</v>
      </c>
      <c r="AA21">
        <v>215.28046371273902</v>
      </c>
      <c r="AB21">
        <v>25.290463712739012</v>
      </c>
      <c r="AC21">
        <v>0.13311470978861525</v>
      </c>
      <c r="AD21">
        <v>-5.3245883915446102E-2</v>
      </c>
      <c r="AE21">
        <v>28.053245883915444</v>
      </c>
      <c r="AF21">
        <v>5706.8946237135588</v>
      </c>
      <c r="AG21">
        <v>387.1746237135585</v>
      </c>
      <c r="AH21">
        <v>7.2781015488326162E-2</v>
      </c>
      <c r="AI21">
        <v>1485.6999020121621</v>
      </c>
      <c r="AJ21">
        <v>-292.58009798783792</v>
      </c>
      <c r="AK21">
        <v>-0.16452982544247133</v>
      </c>
      <c r="AL21">
        <v>4023.3007141627186</v>
      </c>
      <c r="AM21">
        <v>481.86071416271807</v>
      </c>
      <c r="AN21">
        <v>0.1360634979451065</v>
      </c>
      <c r="AO21">
        <v>0.70498948718010479</v>
      </c>
      <c r="AP21">
        <v>3.9270238798610912E-2</v>
      </c>
      <c r="AQ21">
        <v>3.9270238798610912E-2</v>
      </c>
      <c r="AR21">
        <v>492.54399704835561</v>
      </c>
      <c r="AS21">
        <v>738.81599557253344</v>
      </c>
      <c r="AT21">
        <v>0.66666666666666663</v>
      </c>
    </row>
    <row r="22" spans="1:46" x14ac:dyDescent="0.25">
      <c r="A22" t="s">
        <v>110</v>
      </c>
      <c r="B22" t="s">
        <v>111</v>
      </c>
      <c r="C22" t="s">
        <v>66</v>
      </c>
      <c r="D22" t="s">
        <v>56</v>
      </c>
      <c r="E22">
        <v>112.56</v>
      </c>
      <c r="F22">
        <v>53.11</v>
      </c>
      <c r="G22">
        <v>40</v>
      </c>
      <c r="H22">
        <v>4502.3999999999996</v>
      </c>
      <c r="I22">
        <v>2124.4</v>
      </c>
      <c r="J22">
        <v>2377.9999999999995</v>
      </c>
      <c r="K22">
        <v>0.52816275764036957</v>
      </c>
      <c r="L22">
        <v>124.60661115062148</v>
      </c>
      <c r="M22">
        <v>12.046611150621473</v>
      </c>
      <c r="N22">
        <v>0.10702390858761081</v>
      </c>
      <c r="O22">
        <v>979.85122372361684</v>
      </c>
      <c r="P22">
        <v>1086.0712237236162</v>
      </c>
      <c r="Q22">
        <v>16</v>
      </c>
      <c r="R22">
        <v>65.562929794400333</v>
      </c>
      <c r="S22">
        <v>0.2152790454358077</v>
      </c>
      <c r="T22">
        <v>10177.91</v>
      </c>
      <c r="U22">
        <v>2590.186588054918</v>
      </c>
      <c r="V22">
        <v>0.4375</v>
      </c>
      <c r="W22">
        <v>0.25</v>
      </c>
      <c r="X22">
        <v>0.3125</v>
      </c>
      <c r="Y22">
        <v>0</v>
      </c>
      <c r="Z22" t="s">
        <v>53</v>
      </c>
      <c r="AA22">
        <v>119.78796669037288</v>
      </c>
      <c r="AB22">
        <v>7.227966690372881</v>
      </c>
      <c r="AC22">
        <v>6.4214345152566465E-2</v>
      </c>
      <c r="AD22">
        <v>-2.5685738061026586E-2</v>
      </c>
      <c r="AE22">
        <v>40.025685738061028</v>
      </c>
      <c r="AF22">
        <v>4668.4449742040397</v>
      </c>
      <c r="AG22">
        <v>166.04497420404005</v>
      </c>
      <c r="AH22">
        <v>3.6879214242190844E-2</v>
      </c>
      <c r="AI22">
        <v>2119.760316687712</v>
      </c>
      <c r="AJ22">
        <v>-4.6396833122880707</v>
      </c>
      <c r="AK22">
        <v>-2.1839970402410423E-3</v>
      </c>
      <c r="AL22">
        <v>2598.6117561408846</v>
      </c>
      <c r="AM22">
        <v>220.61175614088506</v>
      </c>
      <c r="AN22">
        <v>9.2771974827958417E-2</v>
      </c>
      <c r="AO22">
        <v>0.55663326236033073</v>
      </c>
      <c r="AP22">
        <v>2.8470504719961154E-2</v>
      </c>
      <c r="AQ22">
        <v>2.8470504719961154E-2</v>
      </c>
      <c r="AR22">
        <v>777.05597641647591</v>
      </c>
      <c r="AS22">
        <v>1165.5839646247127</v>
      </c>
      <c r="AT22">
        <v>0.6666666666666673</v>
      </c>
    </row>
    <row r="23" spans="1:46" x14ac:dyDescent="0.25">
      <c r="A23" t="s">
        <v>64</v>
      </c>
      <c r="B23" t="s">
        <v>65</v>
      </c>
      <c r="C23" t="s">
        <v>66</v>
      </c>
      <c r="D23" t="s">
        <v>48</v>
      </c>
      <c r="E23">
        <v>144.94999999999999</v>
      </c>
      <c r="F23">
        <v>77.19</v>
      </c>
      <c r="G23">
        <v>19</v>
      </c>
      <c r="H23">
        <v>2754.0499999999997</v>
      </c>
      <c r="I23">
        <v>1466.61</v>
      </c>
      <c r="J23">
        <v>1287.4399999999998</v>
      </c>
      <c r="K23">
        <v>0.46747154191100376</v>
      </c>
      <c r="L23">
        <v>181.88519051376983</v>
      </c>
      <c r="M23">
        <v>36.93519051376984</v>
      </c>
      <c r="N23">
        <v>0.25481331848064742</v>
      </c>
      <c r="O23">
        <v>337.99823873408741</v>
      </c>
      <c r="P23">
        <v>492.37823873408729</v>
      </c>
      <c r="Q23">
        <v>10</v>
      </c>
      <c r="R23">
        <v>81.451112944606564</v>
      </c>
      <c r="S23">
        <v>0.32460947572594412</v>
      </c>
      <c r="T23">
        <v>5163.41</v>
      </c>
      <c r="U23">
        <v>1457.9708511723543</v>
      </c>
      <c r="V23">
        <v>0.7</v>
      </c>
      <c r="W23">
        <v>0.2</v>
      </c>
      <c r="X23">
        <v>0.1</v>
      </c>
      <c r="Y23">
        <v>0</v>
      </c>
      <c r="Z23" t="s">
        <v>53</v>
      </c>
      <c r="AA23">
        <v>167.1111143082619</v>
      </c>
      <c r="AB23">
        <v>22.161114308261915</v>
      </c>
      <c r="AC23">
        <v>0.15288799108838852</v>
      </c>
      <c r="AD23">
        <v>-6.1155196435355413E-2</v>
      </c>
      <c r="AE23">
        <v>19.061155196435354</v>
      </c>
      <c r="AF23">
        <v>2980.9366244379712</v>
      </c>
      <c r="AG23">
        <v>226.88662443797148</v>
      </c>
      <c r="AH23">
        <v>8.2382899525415845E-2</v>
      </c>
      <c r="AI23">
        <v>1009.4787792032164</v>
      </c>
      <c r="AJ23">
        <v>-457.13122079678351</v>
      </c>
      <c r="AK23">
        <v>-0.31169242047768903</v>
      </c>
      <c r="AL23">
        <v>1604.017447082028</v>
      </c>
      <c r="AM23">
        <v>316.57744708202813</v>
      </c>
      <c r="AN23">
        <v>0.24589685506278208</v>
      </c>
      <c r="AO23">
        <v>0.53809176415632487</v>
      </c>
      <c r="AP23">
        <v>7.0620222245321107E-2</v>
      </c>
      <c r="AQ23">
        <v>7.0620222245321107E-2</v>
      </c>
      <c r="AR23">
        <v>519.03762301735776</v>
      </c>
      <c r="AS23">
        <v>778.55643452603761</v>
      </c>
      <c r="AT23">
        <v>0.66666666666666585</v>
      </c>
    </row>
    <row r="24" spans="1:46" x14ac:dyDescent="0.25">
      <c r="A24" t="s">
        <v>119</v>
      </c>
      <c r="B24" t="s">
        <v>129</v>
      </c>
      <c r="C24" t="s">
        <v>66</v>
      </c>
      <c r="D24" t="s">
        <v>56</v>
      </c>
      <c r="E24">
        <v>101.6</v>
      </c>
      <c r="F24">
        <v>47.68</v>
      </c>
      <c r="G24">
        <v>37</v>
      </c>
      <c r="H24">
        <v>3759.2</v>
      </c>
      <c r="I24">
        <v>1764.16</v>
      </c>
      <c r="J24">
        <v>1995.0399999999997</v>
      </c>
      <c r="K24">
        <v>0.53070866141732276</v>
      </c>
      <c r="L24">
        <v>110.85658594324225</v>
      </c>
      <c r="M24">
        <v>9.256585943242257</v>
      </c>
      <c r="N24">
        <v>9.1108129362620652E-2</v>
      </c>
      <c r="O24">
        <v>1073.7570939567217</v>
      </c>
      <c r="P24">
        <v>1121.4370939567214</v>
      </c>
      <c r="Q24">
        <v>14</v>
      </c>
      <c r="R24">
        <v>68.052230319607702</v>
      </c>
      <c r="S24">
        <v>0.253274531094973</v>
      </c>
      <c r="T24">
        <v>8998.91</v>
      </c>
      <c r="U24">
        <v>1862.6932397664843</v>
      </c>
      <c r="V24">
        <v>0.5</v>
      </c>
      <c r="W24">
        <v>0.21428571428571427</v>
      </c>
      <c r="X24">
        <v>0.14285714285714285</v>
      </c>
      <c r="Y24">
        <v>0.14285714285714285</v>
      </c>
      <c r="Z24" t="s">
        <v>53</v>
      </c>
      <c r="AA24">
        <v>107.15395156594535</v>
      </c>
      <c r="AB24">
        <v>5.5539515659453542</v>
      </c>
      <c r="AC24">
        <v>5.466487761757239E-2</v>
      </c>
      <c r="AD24">
        <v>-2.1865951047028959E-2</v>
      </c>
      <c r="AE24">
        <v>37.021865951047026</v>
      </c>
      <c r="AF24">
        <v>3878.0043547408213</v>
      </c>
      <c r="AG24">
        <v>118.80435474082151</v>
      </c>
      <c r="AH24">
        <v>3.1603627032565841E-2</v>
      </c>
      <c r="AI24">
        <v>1960.6780207674506</v>
      </c>
      <c r="AJ24">
        <v>196.51802076745048</v>
      </c>
      <c r="AK24">
        <v>0.11139466985276306</v>
      </c>
      <c r="AL24">
        <v>2152.4193909399478</v>
      </c>
      <c r="AM24">
        <v>157.37939093994805</v>
      </c>
      <c r="AN24">
        <v>7.888533109107991E-2</v>
      </c>
      <c r="AO24">
        <v>0.55503274211351428</v>
      </c>
      <c r="AP24">
        <v>2.4324080696191519E-2</v>
      </c>
      <c r="AQ24">
        <v>2.4324080696191519E-2</v>
      </c>
      <c r="AR24">
        <v>550.82500090237477</v>
      </c>
      <c r="AS24">
        <v>826.23750135356204</v>
      </c>
      <c r="AT24">
        <v>0.66666666666666674</v>
      </c>
    </row>
    <row r="25" spans="1:46" x14ac:dyDescent="0.25">
      <c r="A25" t="s">
        <v>120</v>
      </c>
      <c r="B25" t="s">
        <v>130</v>
      </c>
      <c r="C25" t="s">
        <v>66</v>
      </c>
      <c r="D25" t="s">
        <v>48</v>
      </c>
      <c r="E25">
        <v>99.75</v>
      </c>
      <c r="F25">
        <v>38.130000000000003</v>
      </c>
      <c r="G25">
        <v>34</v>
      </c>
      <c r="H25">
        <v>3391.5</v>
      </c>
      <c r="I25">
        <v>1296.42</v>
      </c>
      <c r="J25">
        <v>2095.08</v>
      </c>
      <c r="K25">
        <v>0.6177443609022556</v>
      </c>
      <c r="L25">
        <v>110.43409123252499</v>
      </c>
      <c r="M25">
        <v>10.684091232524992</v>
      </c>
      <c r="N25">
        <v>0.10710868403533827</v>
      </c>
      <c r="O25">
        <v>597.24501067332449</v>
      </c>
      <c r="P25">
        <v>635.3750106733246</v>
      </c>
      <c r="Q25">
        <v>13</v>
      </c>
      <c r="R25">
        <v>62.632749766373735</v>
      </c>
      <c r="S25">
        <v>0.23171703319019915</v>
      </c>
      <c r="T25">
        <v>6043.7700000000013</v>
      </c>
      <c r="U25">
        <v>1533.9834111929088</v>
      </c>
      <c r="V25">
        <v>0.30769230769230771</v>
      </c>
      <c r="W25">
        <v>0.53846153846153844</v>
      </c>
      <c r="X25">
        <v>0.15384615384615385</v>
      </c>
      <c r="Y25">
        <v>0</v>
      </c>
      <c r="Z25" t="s">
        <v>49</v>
      </c>
      <c r="AA25">
        <v>106.16045473951499</v>
      </c>
      <c r="AB25">
        <v>6.4104547395149893</v>
      </c>
      <c r="AC25">
        <v>6.4265210421202895E-2</v>
      </c>
      <c r="AD25">
        <v>-2.570608416848116E-2</v>
      </c>
      <c r="AE25">
        <v>34.025706084168483</v>
      </c>
      <c r="AF25">
        <v>3516.6704952569703</v>
      </c>
      <c r="AG25">
        <v>125.1704952569703</v>
      </c>
      <c r="AH25">
        <v>3.690711934452906E-2</v>
      </c>
      <c r="AI25">
        <v>1802.0013942175628</v>
      </c>
      <c r="AJ25">
        <v>505.58139421756277</v>
      </c>
      <c r="AK25">
        <v>0.38998271718853672</v>
      </c>
      <c r="AL25">
        <v>2253.5763768946726</v>
      </c>
      <c r="AM25">
        <v>158.49637689467272</v>
      </c>
      <c r="AN25">
        <v>7.5651706328480409E-2</v>
      </c>
      <c r="AO25">
        <v>0.64082670808485831</v>
      </c>
      <c r="AP25">
        <v>2.3082347182602714E-2</v>
      </c>
      <c r="AQ25">
        <v>2.3082347182602714E-2</v>
      </c>
      <c r="AR25">
        <v>474.35487023042327</v>
      </c>
      <c r="AS25">
        <v>711.53230534563318</v>
      </c>
      <c r="AT25">
        <v>0.66666666666666829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A2"/>
  <sheetViews>
    <sheetView workbookViewId="0"/>
  </sheetViews>
  <sheetFormatPr defaultRowHeight="15" x14ac:dyDescent="0.25"/>
  <cols>
    <col min="1" max="1" width="51.85546875" bestFit="1" customWidth="1"/>
  </cols>
  <sheetData>
    <row r="1" spans="1:1" x14ac:dyDescent="0.25">
      <c r="A1" t="s">
        <v>67</v>
      </c>
    </row>
    <row r="2" spans="1:1" x14ac:dyDescent="0.25">
      <c r="A2" t="str" cm="1">
        <f t="array" aca="1" ref="A2" ca="1">LEFT(CELL("filename",A1),SEARCH("[",CELL("filename",A1))-1)</f>
        <v>C:\Users\Shamel\Documents\Projects\pricing_analysis\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A2593C-0D22-4F64-9F92-B3B9FBD00A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Pricing Detail</vt:lpstr>
      <vt:lpstr>Product Churn Profile</vt:lpstr>
      <vt:lpstr>Model Output</vt:lpstr>
      <vt:lpstr>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Shamel</dc:creator>
  <cp:lastModifiedBy>Shamel Bhimani</cp:lastModifiedBy>
  <dcterms:created xsi:type="dcterms:W3CDTF">2015-06-05T18:17:20Z</dcterms:created>
  <dcterms:modified xsi:type="dcterms:W3CDTF">2026-03-27T15:23:45Z</dcterms:modified>
</cp:coreProperties>
</file>